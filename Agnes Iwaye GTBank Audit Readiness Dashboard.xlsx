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lobalwitness/Downloads/"/>
    </mc:Choice>
  </mc:AlternateContent>
  <xr:revisionPtr revIDLastSave="0" documentId="13_ncr:1_{56A95C69-7608-6044-BA37-1DF5944FF289}" xr6:coauthVersionLast="47" xr6:coauthVersionMax="47" xr10:uidLastSave="{00000000-0000-0000-0000-000000000000}"/>
  <bookViews>
    <workbookView xWindow="40" yWindow="880" windowWidth="29400" windowHeight="16840" activeTab="4" xr2:uid="{00000000-000D-0000-FFFF-FFFF00000000}"/>
  </bookViews>
  <sheets>
    <sheet name="Assumptions &amp; Notes" sheetId="1" r:id="rId1"/>
    <sheet name="Audit Performance" sheetId="2" r:id="rId2"/>
    <sheet name="Daily Call-Over Log" sheetId="3" r:id="rId3"/>
    <sheet name="RACI &amp; Communication" sheetId="4" r:id="rId4"/>
    <sheet name="Executive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5" l="1"/>
  <c r="F16" i="5"/>
  <c r="E16" i="5"/>
  <c r="G15" i="5"/>
  <c r="F15" i="5"/>
  <c r="E15" i="5"/>
  <c r="G14" i="5"/>
  <c r="F14" i="5"/>
  <c r="E14" i="5"/>
  <c r="G13" i="5"/>
  <c r="F13" i="5"/>
  <c r="E13" i="5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B18" i="2"/>
  <c r="B16" i="2"/>
  <c r="B15" i="2"/>
  <c r="B14" i="2"/>
  <c r="B13" i="2"/>
  <c r="I9" i="2"/>
  <c r="B17" i="2" s="1"/>
  <c r="I8" i="2"/>
  <c r="I7" i="2"/>
  <c r="I6" i="2"/>
</calcChain>
</file>

<file path=xl/sharedStrings.xml><?xml version="1.0" encoding="utf-8"?>
<sst xmlns="http://schemas.openxmlformats.org/spreadsheetml/2006/main" count="497" uniqueCount="252">
  <si>
    <t>GTBank Audit Readiness — Assumptions &amp; Data Notes</t>
  </si>
  <si>
    <t>Portfolio model | user-provided results separated from illustrative figures</t>
  </si>
  <si>
    <t>Metric / Statement</t>
  </si>
  <si>
    <t>Value</t>
  </si>
  <si>
    <t>Status</t>
  </si>
  <si>
    <t>How to use it</t>
  </si>
  <si>
    <t>Source basis</t>
  </si>
  <si>
    <t>Portfolio wording</t>
  </si>
  <si>
    <t>Owner</t>
  </si>
  <si>
    <t>Review</t>
  </si>
  <si>
    <t>Employment / project period</t>
  </si>
  <si>
    <t>2018–2020</t>
  </si>
  <si>
    <t>Project timeline</t>
  </si>
  <si>
    <t>User narrative</t>
  </si>
  <si>
    <t>During my GTBank tenure</t>
  </si>
  <si>
    <t>Agnes</t>
  </si>
  <si>
    <t>Confirm dates</t>
  </si>
  <si>
    <t>Baseline audit performance</t>
  </si>
  <si>
    <t>Starting point</t>
  </si>
  <si>
    <t>A prior audit score was approximately 65%</t>
  </si>
  <si>
    <t>Confirmed</t>
  </si>
  <si>
    <t>Prior pass range</t>
  </si>
  <si>
    <t>Context</t>
  </si>
  <si>
    <t>The branch typically did not exceed roughly 75%</t>
  </si>
  <si>
    <t>Final audit performance</t>
  </si>
  <si>
    <t>Outcome</t>
  </si>
  <si>
    <t>Audit performance improved to approximately 95%</t>
  </si>
  <si>
    <t>Error reduction</t>
  </si>
  <si>
    <t>Documentation and transaction exceptions fell by about 30%</t>
  </si>
  <si>
    <t>Transactions within audit scope</t>
  </si>
  <si>
    <t>Scale only</t>
  </si>
  <si>
    <t>Created for portfolio</t>
  </si>
  <si>
    <t>Approximately 145,000 transaction records reviewed across the modeled period</t>
  </si>
  <si>
    <t>Replace if records found</t>
  </si>
  <si>
    <t>Active customer accounts</t>
  </si>
  <si>
    <t>A branch serving approximately 6,500 active customer accounts</t>
  </si>
  <si>
    <t>Issue closure rate</t>
  </si>
  <si>
    <t>Dashboard KPI</t>
  </si>
  <si>
    <t>94% of identified exceptions closed before the next review point</t>
  </si>
  <si>
    <t>Audit checkpoints</t>
  </si>
  <si>
    <t>Trend visualization</t>
  </si>
  <si>
    <t>Four modeled review points, including the baseline</t>
  </si>
  <si>
    <t>Do not present as official record</t>
  </si>
  <si>
    <t>Terminology</t>
  </si>
  <si>
    <t>Daily call-over control</t>
  </si>
  <si>
    <t>Process name</t>
  </si>
  <si>
    <t>User described as 'Collover'</t>
  </si>
  <si>
    <t>Daily call-over: end-of-day review of transactions and supporting documents</t>
  </si>
  <si>
    <t>Use consistently</t>
  </si>
  <si>
    <t>Audit Performance Progression</t>
  </si>
  <si>
    <t>Illustrative audit-by-audit values anchored to the user-provided 65% baseline and 95% final result</t>
  </si>
  <si>
    <t>Review Point</t>
  </si>
  <si>
    <t>Review Type</t>
  </si>
  <si>
    <t>Performance Score</t>
  </si>
  <si>
    <t>Exception Index</t>
  </si>
  <si>
    <t>Documentation Complete</t>
  </si>
  <si>
    <t>High-Risk Findings</t>
  </si>
  <si>
    <t>Issues Identified</t>
  </si>
  <si>
    <t>Issues Closed</t>
  </si>
  <si>
    <t>Closure Rate</t>
  </si>
  <si>
    <t>2018 Baseline</t>
  </si>
  <si>
    <t>External audit</t>
  </si>
  <si>
    <t>2019 H1</t>
  </si>
  <si>
    <t>Internal audit</t>
  </si>
  <si>
    <t>2019 Year-end</t>
  </si>
  <si>
    <t>2020 Year-end</t>
  </si>
  <si>
    <t>KPI</t>
  </si>
  <si>
    <t>Formula / Value</t>
  </si>
  <si>
    <t>Interpretation</t>
  </si>
  <si>
    <t>Score improvement</t>
  </si>
  <si>
    <t>Percentage-point gain from baseline to final</t>
  </si>
  <si>
    <t>Relative score improvement</t>
  </si>
  <si>
    <t>Improvement relative to baseline</t>
  </si>
  <si>
    <t>Exception reduction</t>
  </si>
  <si>
    <t>Modeled exception-index reduction</t>
  </si>
  <si>
    <t>Final documentation completeness</t>
  </si>
  <si>
    <t>Modeled readiness control</t>
  </si>
  <si>
    <t>Final issue closure rate</t>
  </si>
  <si>
    <t>Modeled closeout effectiveness</t>
  </si>
  <si>
    <t>High-risk finding reduction</t>
  </si>
  <si>
    <t>Modeled control-risk improvement</t>
  </si>
  <si>
    <t>Daily Call-Over Control Log</t>
  </si>
  <si>
    <t>Date</t>
  </si>
  <si>
    <t>Transaction Batch</t>
  </si>
  <si>
    <t>Transactions Reviewed</t>
  </si>
  <si>
    <t>Documents Checked</t>
  </si>
  <si>
    <t>Exceptions Found</t>
  </si>
  <si>
    <t>Exception Rate</t>
  </si>
  <si>
    <t>Risk Level</t>
  </si>
  <si>
    <t>Issue Type</t>
  </si>
  <si>
    <t>Assigned Function</t>
  </si>
  <si>
    <t>Target Date</t>
  </si>
  <si>
    <t>Days to Close</t>
  </si>
  <si>
    <t>BATCH-001</t>
  </si>
  <si>
    <t>High</t>
  </si>
  <si>
    <t>Missing authorization</t>
  </si>
  <si>
    <t>Operations</t>
  </si>
  <si>
    <t>Closed</t>
  </si>
  <si>
    <t>BATCH-002</t>
  </si>
  <si>
    <t>Low</t>
  </si>
  <si>
    <t>Incomplete KYC document</t>
  </si>
  <si>
    <t>Tellers / Cash Office</t>
  </si>
  <si>
    <t>BATCH-003</t>
  </si>
  <si>
    <t>Posting mismatch</t>
  </si>
  <si>
    <t>Relationship Management</t>
  </si>
  <si>
    <t>BATCH-004</t>
  </si>
  <si>
    <t>Medium</t>
  </si>
  <si>
    <t>Cash proof variance</t>
  </si>
  <si>
    <t>Fraud &amp; AML</t>
  </si>
  <si>
    <t>BATCH-005</t>
  </si>
  <si>
    <t>AML review flag</t>
  </si>
  <si>
    <t>Cybersecurity</t>
  </si>
  <si>
    <t>BATCH-006</t>
  </si>
  <si>
    <t>Access-control exception</t>
  </si>
  <si>
    <t>Internal Control</t>
  </si>
  <si>
    <t>BATCH-007</t>
  </si>
  <si>
    <t>BATCH-008</t>
  </si>
  <si>
    <t>BATCH-009</t>
  </si>
  <si>
    <t>BATCH-010</t>
  </si>
  <si>
    <t>BATCH-011</t>
  </si>
  <si>
    <t>BATCH-012</t>
  </si>
  <si>
    <t>BATCH-013</t>
  </si>
  <si>
    <t>BATCH-014</t>
  </si>
  <si>
    <t>BATCH-015</t>
  </si>
  <si>
    <t>BATCH-016</t>
  </si>
  <si>
    <t>BATCH-017</t>
  </si>
  <si>
    <t>BATCH-018</t>
  </si>
  <si>
    <t>BATCH-019</t>
  </si>
  <si>
    <t>BATCH-020</t>
  </si>
  <si>
    <t>BATCH-021</t>
  </si>
  <si>
    <t>BATCH-022</t>
  </si>
  <si>
    <t>BATCH-023</t>
  </si>
  <si>
    <t>BATCH-024</t>
  </si>
  <si>
    <t>BATCH-025</t>
  </si>
  <si>
    <t>BATCH-026</t>
  </si>
  <si>
    <t>BATCH-027</t>
  </si>
  <si>
    <t>BATCH-028</t>
  </si>
  <si>
    <t>BATCH-029</t>
  </si>
  <si>
    <t>BATCH-030</t>
  </si>
  <si>
    <t>BATCH-031</t>
  </si>
  <si>
    <t>BATCH-032</t>
  </si>
  <si>
    <t>BATCH-033</t>
  </si>
  <si>
    <t>BATCH-034</t>
  </si>
  <si>
    <t>BATCH-035</t>
  </si>
  <si>
    <t>BATCH-036</t>
  </si>
  <si>
    <t>BATCH-037</t>
  </si>
  <si>
    <t>BATCH-038</t>
  </si>
  <si>
    <t>In Progress</t>
  </si>
  <si>
    <t>BATCH-039</t>
  </si>
  <si>
    <t>Open</t>
  </si>
  <si>
    <t>BATCH-040</t>
  </si>
  <si>
    <t>Audit Readiness Governance</t>
  </si>
  <si>
    <t>Stakeholder roles, communication rhythm and escalation paths</t>
  </si>
  <si>
    <t>Workstream</t>
  </si>
  <si>
    <t>Customer Relationship Manager</t>
  </si>
  <si>
    <t>Branch Manager</t>
  </si>
  <si>
    <t>Internal Control / Audit</t>
  </si>
  <si>
    <t>External Auditors</t>
  </si>
  <si>
    <t>Cadence</t>
  </si>
  <si>
    <t>Audit plan and readiness calendar</t>
  </si>
  <si>
    <t>R</t>
  </si>
  <si>
    <t>A</t>
  </si>
  <si>
    <t>C</t>
  </si>
  <si>
    <t>I</t>
  </si>
  <si>
    <t>Quarterly / pre-audit</t>
  </si>
  <si>
    <t>Daily transaction call-over</t>
  </si>
  <si>
    <t>A/R</t>
  </si>
  <si>
    <t>Daily</t>
  </si>
  <si>
    <t>Documentation exception correction</t>
  </si>
  <si>
    <t>High-risk escalation</t>
  </si>
  <si>
    <t>Within 24 hours</t>
  </si>
  <si>
    <t>Issue register and closure evidence</t>
  </si>
  <si>
    <t>Weekly</t>
  </si>
  <si>
    <t>Internal audit coordination</t>
  </si>
  <si>
    <t>Semiannual</t>
  </si>
  <si>
    <t>External audit evidence package</t>
  </si>
  <si>
    <t>Annual</t>
  </si>
  <si>
    <t>Communication</t>
  </si>
  <si>
    <t>Audience</t>
  </si>
  <si>
    <t>Purpose</t>
  </si>
  <si>
    <t>Format</t>
  </si>
  <si>
    <t>Escalation trigger</t>
  </si>
  <si>
    <t>Daily exception huddle</t>
  </si>
  <si>
    <t>Operations, tellers, relationship team</t>
  </si>
  <si>
    <t>Assign and close same-day exceptions</t>
  </si>
  <si>
    <t>15-minute stand-up</t>
  </si>
  <si>
    <t>CRM / audit lead</t>
  </si>
  <si>
    <t>Any high-risk exception</t>
  </si>
  <si>
    <t>Weekly readiness review</t>
  </si>
  <si>
    <t>Branch manager and control owners</t>
  </si>
  <si>
    <t>Review aging, evidence and unresolved items</t>
  </si>
  <si>
    <t>Dashboard + issue register</t>
  </si>
  <si>
    <t>&gt;5 open items or overdue action</t>
  </si>
  <si>
    <t>Monthly risk review</t>
  </si>
  <si>
    <t>Fraud &amp; AML, cybersecurity, internal control</t>
  </si>
  <si>
    <t>Review fraud, AML and access-control signals</t>
  </si>
  <si>
    <t>Risk summary</t>
  </si>
  <si>
    <t>Risk owners</t>
  </si>
  <si>
    <t>Control breach or suspicious pattern</t>
  </si>
  <si>
    <t>Pre-audit checkpoint</t>
  </si>
  <si>
    <t>All process owners</t>
  </si>
  <si>
    <t>Confirm evidence completeness and ownership</t>
  </si>
  <si>
    <t>Readiness checklist</t>
  </si>
  <si>
    <t>Branch manager</t>
  </si>
  <si>
    <t>Readiness below 90%</t>
  </si>
  <si>
    <t>Audit closeout</t>
  </si>
  <si>
    <t>Executives and control owners</t>
  </si>
  <si>
    <t>Agree corrective actions and due dates</t>
  </si>
  <si>
    <t>Closeout report</t>
  </si>
  <si>
    <t>Internal control</t>
  </si>
  <si>
    <t>Repeat finding</t>
  </si>
  <si>
    <t>GTBank Branch Audit Readiness Dashboard</t>
  </si>
  <si>
    <t>Customer Relationship Manager | daily call-over control and cross-functional audit preparation</t>
  </si>
  <si>
    <t>95%
FINAL AUDIT SCORE
User-provided outcome</t>
  </si>
  <si>
    <t>+30 pts
SCORE IMPROVEMENT
65% baseline to 95% final</t>
  </si>
  <si>
    <t>30%
ERROR REDUCTION
User-provided outcome</t>
  </si>
  <si>
    <t>145,000
TRANSACTIONS IN SCOPE
Illustrative portfolio scale</t>
  </si>
  <si>
    <t>AUDIT PERFORMANCE PROGRESSION</t>
  </si>
  <si>
    <t>Performance</t>
  </si>
  <si>
    <t>Readiness Signal</t>
  </si>
  <si>
    <t>Control gap</t>
  </si>
  <si>
    <t>Stabilizing</t>
  </si>
  <si>
    <t>Audit-ready</t>
  </si>
  <si>
    <t>Sustained</t>
  </si>
  <si>
    <t>DAILY CALL-OVER CONTROL</t>
  </si>
  <si>
    <t>MANAGEMENT COMMENTARY</t>
  </si>
  <si>
    <t>1</t>
  </si>
  <si>
    <t>Review daily batches</t>
  </si>
  <si>
    <t>Check postings, approvals and supporting documents</t>
  </si>
  <si>
    <t>CRM + Operations</t>
  </si>
  <si>
    <t>The daily call-over changed audit readiness from a periodic clean-up exercise into a continuous control. Cross-functional ownership made exceptions visible earlier, accelerated corrections and reduced the risk of repeat findings.
Portfolio interpretation: the branch moved from an approximately 65% failed audit result to 95% readiness, while documentation and transaction exceptions decreased by about 30%. Transaction and customer volumes shown in this workbook are illustrative and should be replaced if official records become available.</t>
  </si>
  <si>
    <t>2</t>
  </si>
  <si>
    <t>Log exceptions</t>
  </si>
  <si>
    <t>Classify documentation, transaction, AML or access issues</t>
  </si>
  <si>
    <t>CRM</t>
  </si>
  <si>
    <t>Same day</t>
  </si>
  <si>
    <t>3</t>
  </si>
  <si>
    <t>Assign corrective action</t>
  </si>
  <si>
    <t>Route to tellers, operations, AML, cybersecurity or control</t>
  </si>
  <si>
    <t>Process owner</t>
  </si>
  <si>
    <t>4</t>
  </si>
  <si>
    <t>Verify closure evidence</t>
  </si>
  <si>
    <t>Confirm correction and retain supporting evidence</t>
  </si>
  <si>
    <t>CRM + Internal Control</t>
  </si>
  <si>
    <t>5</t>
  </si>
  <si>
    <t>Escalate aging / repeat issues</t>
  </si>
  <si>
    <t>Raise high-risk or overdue items to branch leadership</t>
  </si>
  <si>
    <t>As triggered</t>
  </si>
  <si>
    <t>6</t>
  </si>
  <si>
    <t>Prepare audit pack</t>
  </si>
  <si>
    <t>Consolidate clean records, issue history and closure evidence</t>
  </si>
  <si>
    <t>Pre-audit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</si>
</sst>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\ &quot;pts&quot;"/>
    <numFmt numFmtId="165" formatCode="yyyy\-mm\-dd"/>
    <numFmt numFmtId="166" formatCode="0.0%"/>
  </numFmts>
  <fonts count="8">
    <font>
      <sz val="11"/>
      <name val="Carlito"/>
    </font>
    <font>
      <b/>
      <sz val="12"/>
      <color rgb="FFFFFFFF"/>
      <name val="Times New Roman"/>
      <family val="1"/>
    </font>
    <font>
      <sz val="12"/>
      <color rgb="FF172033"/>
      <name val="Times New Roman"/>
      <family val="1"/>
    </font>
    <font>
      <b/>
      <sz val="24"/>
      <color rgb="FFFFFFFF"/>
      <name val="Times New Roman"/>
      <family val="1"/>
    </font>
    <font>
      <sz val="11"/>
      <name val="Times New Roman"/>
      <family val="1"/>
    </font>
    <font>
      <b/>
      <sz val="11"/>
      <color rgb="FFFFFFFF"/>
      <name val="Times New Roman"/>
      <family val="1"/>
    </font>
    <font>
      <sz val="12"/>
      <name val="Times New Roman"/>
      <family val="1"/>
    </font>
    <font>
      <b/>
      <sz val="12"/>
      <color rgb="FF17203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C8102E"/>
      </patternFill>
    </fill>
    <fill>
      <patternFill patternType="solid">
        <fgColor rgb="FFFFFFFF"/>
      </patternFill>
    </fill>
    <fill>
      <patternFill patternType="solid">
        <fgColor rgb="FFE8F5EF"/>
      </patternFill>
    </fill>
    <fill>
      <patternFill patternType="solid">
        <fgColor rgb="FFF2F4F7"/>
      </patternFill>
    </fill>
    <fill>
      <patternFill patternType="solid">
        <fgColor rgb="FFFDECEF"/>
      </patternFill>
    </fill>
  </fills>
  <borders count="15">
    <border>
      <left/>
      <right/>
      <top/>
      <bottom/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thin">
        <color rgb="FFD0D5DD"/>
      </bottom>
      <diagonal/>
    </border>
    <border>
      <left/>
      <right/>
      <top style="thin">
        <color rgb="FFD0D5DD"/>
      </top>
      <bottom/>
      <diagonal/>
    </border>
    <border>
      <left/>
      <right/>
      <top/>
      <bottom style="thin">
        <color rgb="FFEAECF0"/>
      </bottom>
      <diagonal/>
    </border>
    <border>
      <left/>
      <right/>
      <top style="thin">
        <color rgb="FFEAECF0"/>
      </top>
      <bottom style="thin">
        <color rgb="FFEAECF0"/>
      </bottom>
      <diagonal/>
    </border>
    <border>
      <left/>
      <right/>
      <top style="thin">
        <color rgb="FFEAECF0"/>
      </top>
      <bottom/>
      <diagonal/>
    </border>
    <border>
      <left style="thin">
        <color rgb="FFD0D5DD"/>
      </left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/>
      <bottom/>
      <diagonal/>
    </border>
    <border>
      <left/>
      <right style="thin">
        <color rgb="FFD0D5DD"/>
      </right>
      <top/>
      <bottom/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/>
      <bottom style="thin">
        <color rgb="FFD0D5DD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9" fontId="2" fillId="0" borderId="2" xfId="0" applyNumberFormat="1" applyFont="1" applyBorder="1" applyAlignment="1">
      <alignment vertical="top" wrapText="1"/>
    </xf>
    <xf numFmtId="3" fontId="2" fillId="0" borderId="2" xfId="0" applyNumberFormat="1" applyFont="1" applyBorder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5" fillId="3" borderId="0" xfId="0" applyFont="1" applyFill="1" applyAlignment="1">
      <alignment vertical="center"/>
    </xf>
    <xf numFmtId="0" fontId="6" fillId="0" borderId="0" xfId="0" applyFont="1"/>
    <xf numFmtId="0" fontId="1" fillId="3" borderId="0" xfId="0" applyFont="1" applyFill="1" applyAlignment="1">
      <alignment vertical="center"/>
    </xf>
    <xf numFmtId="0" fontId="2" fillId="0" borderId="4" xfId="0" applyFont="1" applyBorder="1" applyAlignment="1">
      <alignment vertical="center" wrapText="1"/>
    </xf>
    <xf numFmtId="9" fontId="2" fillId="0" borderId="4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9" fontId="2" fillId="0" borderId="2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9" fontId="2" fillId="0" borderId="5" xfId="0" applyNumberFormat="1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164" fontId="2" fillId="0" borderId="4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9" fontId="2" fillId="0" borderId="2" xfId="0" applyNumberFormat="1" applyFont="1" applyBorder="1" applyAlignment="1">
      <alignment wrapText="1"/>
    </xf>
    <xf numFmtId="0" fontId="2" fillId="0" borderId="5" xfId="0" applyFont="1" applyBorder="1" applyAlignment="1">
      <alignment wrapText="1"/>
    </xf>
    <xf numFmtId="9" fontId="2" fillId="0" borderId="5" xfId="0" applyNumberFormat="1" applyFont="1" applyBorder="1" applyAlignment="1">
      <alignment wrapText="1"/>
    </xf>
    <xf numFmtId="165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6" fontId="2" fillId="0" borderId="6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6" fontId="2" fillId="0" borderId="7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6" fontId="2" fillId="0" borderId="8" xfId="0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6" fillId="4" borderId="0" xfId="0" applyFont="1" applyFill="1"/>
    <xf numFmtId="0" fontId="1" fillId="2" borderId="0" xfId="0" applyFont="1" applyFill="1"/>
    <xf numFmtId="0" fontId="2" fillId="0" borderId="4" xfId="0" applyFont="1" applyBorder="1"/>
    <xf numFmtId="9" fontId="2" fillId="0" borderId="4" xfId="0" applyNumberFormat="1" applyFont="1" applyBorder="1"/>
    <xf numFmtId="0" fontId="6" fillId="0" borderId="0" xfId="0" applyFont="1" applyAlignment="1">
      <alignment wrapText="1"/>
    </xf>
    <xf numFmtId="9" fontId="7" fillId="0" borderId="0" xfId="0" applyNumberFormat="1" applyFont="1" applyAlignment="1">
      <alignment vertical="center" wrapText="1"/>
    </xf>
    <xf numFmtId="0" fontId="2" fillId="0" borderId="2" xfId="0" applyFont="1" applyBorder="1"/>
    <xf numFmtId="9" fontId="2" fillId="0" borderId="2" xfId="0" applyNumberFormat="1" applyFont="1" applyBorder="1"/>
    <xf numFmtId="0" fontId="2" fillId="0" borderId="5" xfId="0" applyFont="1" applyBorder="1"/>
    <xf numFmtId="9" fontId="2" fillId="0" borderId="5" xfId="0" applyNumberFormat="1" applyFont="1" applyBorder="1"/>
    <xf numFmtId="0" fontId="1" fillId="3" borderId="0" xfId="0" applyFont="1" applyFill="1"/>
    <xf numFmtId="0" fontId="2" fillId="7" borderId="9" xfId="0" applyFont="1" applyFill="1" applyBorder="1" applyAlignment="1">
      <alignment vertical="top" wrapText="1"/>
    </xf>
    <xf numFmtId="0" fontId="2" fillId="7" borderId="5" xfId="0" applyFont="1" applyFill="1" applyBorder="1" applyAlignment="1">
      <alignment vertical="top" wrapText="1"/>
    </xf>
    <xf numFmtId="0" fontId="2" fillId="7" borderId="10" xfId="0" applyFont="1" applyFill="1" applyBorder="1" applyAlignment="1">
      <alignment vertical="top" wrapText="1"/>
    </xf>
    <xf numFmtId="0" fontId="2" fillId="7" borderId="11" xfId="0" applyFont="1" applyFill="1" applyBorder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7" borderId="12" xfId="0" applyFont="1" applyFill="1" applyBorder="1" applyAlignment="1">
      <alignment vertical="top" wrapText="1"/>
    </xf>
    <xf numFmtId="0" fontId="2" fillId="7" borderId="13" xfId="0" applyFont="1" applyFill="1" applyBorder="1" applyAlignment="1">
      <alignment vertical="top" wrapText="1"/>
    </xf>
    <xf numFmtId="0" fontId="2" fillId="7" borderId="4" xfId="0" applyFont="1" applyFill="1" applyBorder="1" applyAlignment="1">
      <alignment vertical="top" wrapText="1"/>
    </xf>
    <xf numFmtId="0" fontId="2" fillId="7" borderId="14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8F1024"/>
      </font>
      <fill>
        <patternFill patternType="solid">
          <bgColor rgb="FFFDECEF"/>
        </patternFill>
      </fill>
    </dxf>
    <dxf>
      <font>
        <b/>
        <color rgb="FF16875B"/>
      </font>
      <fill>
        <patternFill patternType="solid">
          <bgColor rgb="FFE8F5EF"/>
        </patternFill>
      </fill>
    </dxf>
    <dxf>
      <font>
        <b/>
        <color rgb="FFB54708"/>
      </font>
      <fill>
        <patternFill patternType="solid">
          <bgColor rgb="FFFFF4E5"/>
        </patternFill>
      </fill>
    </dxf>
    <dxf>
      <font>
        <b/>
        <color rgb="FF8F1024"/>
      </font>
      <fill>
        <patternFill patternType="solid">
          <bgColor rgb="FFFDEC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workbookViewId="0">
      <selection activeCell="D22" sqref="D22"/>
    </sheetView>
  </sheetViews>
  <sheetFormatPr baseColWidth="10" defaultColWidth="8.83203125" defaultRowHeight="14"/>
  <cols>
    <col min="1" max="1" width="28" style="9" customWidth="1"/>
    <col min="2" max="3" width="20" style="9" customWidth="1"/>
    <col min="4" max="4" width="22" style="9" customWidth="1"/>
    <col min="5" max="5" width="42" style="9" customWidth="1"/>
    <col min="6" max="6" width="14" style="9" customWidth="1"/>
    <col min="7" max="7" width="22" style="9" customWidth="1"/>
    <col min="8" max="16384" width="8.83203125" style="9"/>
  </cols>
  <sheetData>
    <row r="1" spans="1:7" ht="28" customHeight="1">
      <c r="A1" s="8" t="s">
        <v>0</v>
      </c>
      <c r="B1" s="8"/>
      <c r="C1" s="8"/>
      <c r="D1" s="8"/>
      <c r="E1" s="8"/>
      <c r="F1" s="8"/>
      <c r="G1" s="8"/>
    </row>
    <row r="2" spans="1:7" ht="22" customHeight="1">
      <c r="A2" s="8"/>
      <c r="B2" s="8"/>
      <c r="C2" s="8"/>
      <c r="D2" s="8"/>
      <c r="E2" s="8"/>
      <c r="F2" s="8"/>
      <c r="G2" s="8"/>
    </row>
    <row r="3" spans="1:7" ht="22" customHeight="1">
      <c r="A3" s="10" t="s">
        <v>1</v>
      </c>
      <c r="B3" s="10"/>
      <c r="C3" s="10"/>
      <c r="D3" s="10"/>
      <c r="E3" s="10"/>
      <c r="F3" s="10"/>
      <c r="G3" s="10"/>
    </row>
    <row r="5" spans="1:7" ht="17">
      <c r="A5" s="1" t="s">
        <v>2</v>
      </c>
      <c r="B5" s="2" t="s">
        <v>3</v>
      </c>
      <c r="C5" s="2" t="s">
        <v>5</v>
      </c>
      <c r="D5" s="2" t="s">
        <v>6</v>
      </c>
      <c r="E5" s="2" t="s">
        <v>7</v>
      </c>
      <c r="F5" s="2" t="s">
        <v>8</v>
      </c>
      <c r="G5" s="3" t="s">
        <v>9</v>
      </c>
    </row>
    <row r="6" spans="1:7" ht="17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</row>
    <row r="7" spans="1:7" ht="17">
      <c r="A7" s="5" t="s">
        <v>17</v>
      </c>
      <c r="B7" s="6">
        <v>0.65</v>
      </c>
      <c r="C7" s="5" t="s">
        <v>18</v>
      </c>
      <c r="D7" s="5" t="s">
        <v>13</v>
      </c>
      <c r="E7" s="5" t="s">
        <v>19</v>
      </c>
      <c r="F7" s="5" t="s">
        <v>15</v>
      </c>
      <c r="G7" s="5" t="s">
        <v>20</v>
      </c>
    </row>
    <row r="8" spans="1:7" ht="17">
      <c r="A8" s="5" t="s">
        <v>21</v>
      </c>
      <c r="B8" s="6">
        <v>0.75</v>
      </c>
      <c r="C8" s="5" t="s">
        <v>22</v>
      </c>
      <c r="D8" s="5" t="s">
        <v>13</v>
      </c>
      <c r="E8" s="5" t="s">
        <v>23</v>
      </c>
      <c r="F8" s="5" t="s">
        <v>15</v>
      </c>
      <c r="G8" s="5" t="s">
        <v>20</v>
      </c>
    </row>
    <row r="9" spans="1:7" ht="34">
      <c r="A9" s="5" t="s">
        <v>24</v>
      </c>
      <c r="B9" s="6">
        <v>0.95</v>
      </c>
      <c r="C9" s="5" t="s">
        <v>25</v>
      </c>
      <c r="D9" s="5" t="s">
        <v>13</v>
      </c>
      <c r="E9" s="5" t="s">
        <v>26</v>
      </c>
      <c r="F9" s="5" t="s">
        <v>15</v>
      </c>
      <c r="G9" s="5" t="s">
        <v>20</v>
      </c>
    </row>
    <row r="10" spans="1:7" ht="34">
      <c r="A10" s="5" t="s">
        <v>27</v>
      </c>
      <c r="B10" s="6">
        <v>0.3</v>
      </c>
      <c r="C10" s="5" t="s">
        <v>25</v>
      </c>
      <c r="D10" s="5" t="s">
        <v>13</v>
      </c>
      <c r="E10" s="5" t="s">
        <v>28</v>
      </c>
      <c r="F10" s="5" t="s">
        <v>15</v>
      </c>
      <c r="G10" s="5" t="s">
        <v>20</v>
      </c>
    </row>
    <row r="11" spans="1:7" ht="34">
      <c r="A11" s="5" t="s">
        <v>29</v>
      </c>
      <c r="B11" s="7">
        <v>145000</v>
      </c>
      <c r="C11" s="5" t="s">
        <v>30</v>
      </c>
      <c r="D11" s="5" t="s">
        <v>31</v>
      </c>
      <c r="E11" s="5" t="s">
        <v>32</v>
      </c>
      <c r="F11" s="5" t="s">
        <v>15</v>
      </c>
      <c r="G11" s="5" t="s">
        <v>33</v>
      </c>
    </row>
    <row r="12" spans="1:7" ht="34">
      <c r="A12" s="5" t="s">
        <v>34</v>
      </c>
      <c r="B12" s="7">
        <v>6500</v>
      </c>
      <c r="C12" s="5" t="s">
        <v>30</v>
      </c>
      <c r="D12" s="5" t="s">
        <v>31</v>
      </c>
      <c r="E12" s="5" t="s">
        <v>35</v>
      </c>
      <c r="F12" s="5" t="s">
        <v>15</v>
      </c>
      <c r="G12" s="5" t="s">
        <v>33</v>
      </c>
    </row>
    <row r="13" spans="1:7" ht="34">
      <c r="A13" s="5" t="s">
        <v>36</v>
      </c>
      <c r="B13" s="6">
        <v>0.94</v>
      </c>
      <c r="C13" s="5" t="s">
        <v>37</v>
      </c>
      <c r="D13" s="5" t="s">
        <v>31</v>
      </c>
      <c r="E13" s="5" t="s">
        <v>38</v>
      </c>
      <c r="F13" s="5" t="s">
        <v>15</v>
      </c>
      <c r="G13" s="5" t="s">
        <v>33</v>
      </c>
    </row>
    <row r="14" spans="1:7" ht="34">
      <c r="A14" s="5" t="s">
        <v>39</v>
      </c>
      <c r="B14" s="5">
        <v>4</v>
      </c>
      <c r="C14" s="5" t="s">
        <v>40</v>
      </c>
      <c r="D14" s="5" t="s">
        <v>31</v>
      </c>
      <c r="E14" s="5" t="s">
        <v>41</v>
      </c>
      <c r="F14" s="5" t="s">
        <v>15</v>
      </c>
      <c r="G14" s="5" t="s">
        <v>42</v>
      </c>
    </row>
    <row r="15" spans="1:7" ht="34">
      <c r="A15" s="5" t="s">
        <v>43</v>
      </c>
      <c r="B15" s="5" t="s">
        <v>44</v>
      </c>
      <c r="C15" s="5" t="s">
        <v>45</v>
      </c>
      <c r="D15" s="5" t="s">
        <v>46</v>
      </c>
      <c r="E15" s="5" t="s">
        <v>47</v>
      </c>
      <c r="F15" s="5" t="s">
        <v>15</v>
      </c>
      <c r="G15" s="5" t="s">
        <v>48</v>
      </c>
    </row>
  </sheetData>
  <mergeCells count="2">
    <mergeCell ref="A1:G2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showGridLines="0" workbookViewId="0">
      <selection activeCell="F15" sqref="F15"/>
    </sheetView>
  </sheetViews>
  <sheetFormatPr baseColWidth="10" defaultColWidth="8.83203125" defaultRowHeight="16"/>
  <cols>
    <col min="1" max="1" width="20" style="11" customWidth="1"/>
    <col min="2" max="3" width="18" style="11" customWidth="1"/>
    <col min="4" max="4" width="16" style="11" customWidth="1"/>
    <col min="5" max="5" width="22" style="11" customWidth="1"/>
    <col min="6" max="6" width="18" style="11" customWidth="1"/>
    <col min="7" max="9" width="16" style="11" customWidth="1"/>
    <col min="10" max="16384" width="8.83203125" style="11"/>
  </cols>
  <sheetData>
    <row r="1" spans="1:9" ht="28" customHeight="1">
      <c r="A1" s="8" t="s">
        <v>49</v>
      </c>
      <c r="B1" s="8"/>
      <c r="C1" s="8"/>
      <c r="D1" s="8"/>
      <c r="E1" s="8"/>
      <c r="F1" s="8"/>
      <c r="G1" s="8"/>
      <c r="H1" s="8"/>
      <c r="I1" s="8"/>
    </row>
    <row r="2" spans="1:9" ht="22" customHeight="1">
      <c r="A2" s="8"/>
      <c r="B2" s="8"/>
      <c r="C2" s="8"/>
      <c r="D2" s="8"/>
      <c r="E2" s="8"/>
      <c r="F2" s="8"/>
      <c r="G2" s="8"/>
      <c r="H2" s="8"/>
      <c r="I2" s="8"/>
    </row>
    <row r="3" spans="1:9" ht="22" customHeight="1">
      <c r="A3" s="12" t="s">
        <v>50</v>
      </c>
      <c r="B3" s="12"/>
      <c r="C3" s="12"/>
      <c r="D3" s="12"/>
      <c r="E3" s="12"/>
      <c r="F3" s="12"/>
      <c r="G3" s="12"/>
      <c r="H3" s="12"/>
      <c r="I3" s="12"/>
    </row>
    <row r="5" spans="1:9" ht="34">
      <c r="A5" s="1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</row>
    <row r="6" spans="1:9" ht="17">
      <c r="A6" s="13" t="s">
        <v>60</v>
      </c>
      <c r="B6" s="13" t="s">
        <v>61</v>
      </c>
      <c r="C6" s="14">
        <v>0.65</v>
      </c>
      <c r="D6" s="13">
        <v>100</v>
      </c>
      <c r="E6" s="14">
        <v>0.72</v>
      </c>
      <c r="F6" s="13">
        <v>7</v>
      </c>
      <c r="G6" s="13">
        <v>50</v>
      </c>
      <c r="H6" s="13">
        <v>30</v>
      </c>
      <c r="I6" s="14">
        <f>IFERROR(H6/G6,0)</f>
        <v>0.6</v>
      </c>
    </row>
    <row r="7" spans="1:9" ht="17">
      <c r="A7" s="15" t="s">
        <v>62</v>
      </c>
      <c r="B7" s="15" t="s">
        <v>63</v>
      </c>
      <c r="C7" s="16">
        <v>0.8</v>
      </c>
      <c r="D7" s="15">
        <v>90</v>
      </c>
      <c r="E7" s="16">
        <v>0.82</v>
      </c>
      <c r="F7" s="15">
        <v>5</v>
      </c>
      <c r="G7" s="15">
        <v>44</v>
      </c>
      <c r="H7" s="15">
        <v>35</v>
      </c>
      <c r="I7" s="16">
        <f>IFERROR(H7/G7,0)</f>
        <v>0.79545454545454541</v>
      </c>
    </row>
    <row r="8" spans="1:9" ht="17">
      <c r="A8" s="15" t="s">
        <v>64</v>
      </c>
      <c r="B8" s="15" t="s">
        <v>61</v>
      </c>
      <c r="C8" s="16">
        <v>0.88</v>
      </c>
      <c r="D8" s="15">
        <v>80</v>
      </c>
      <c r="E8" s="16">
        <v>0.9</v>
      </c>
      <c r="F8" s="15">
        <v>3</v>
      </c>
      <c r="G8" s="15">
        <v>38</v>
      </c>
      <c r="H8" s="15">
        <v>34</v>
      </c>
      <c r="I8" s="16">
        <f>IFERROR(H8/G8,0)</f>
        <v>0.89473684210526316</v>
      </c>
    </row>
    <row r="9" spans="1:9" ht="17">
      <c r="A9" s="17" t="s">
        <v>65</v>
      </c>
      <c r="B9" s="17" t="s">
        <v>61</v>
      </c>
      <c r="C9" s="18">
        <v>0.95</v>
      </c>
      <c r="D9" s="17">
        <v>70</v>
      </c>
      <c r="E9" s="18">
        <v>0.97</v>
      </c>
      <c r="F9" s="17">
        <v>1</v>
      </c>
      <c r="G9" s="17">
        <v>33</v>
      </c>
      <c r="H9" s="17">
        <v>31</v>
      </c>
      <c r="I9" s="18">
        <f>IFERROR(H9/G9,0)</f>
        <v>0.93939393939393945</v>
      </c>
    </row>
    <row r="12" spans="1:9" ht="17">
      <c r="A12" s="1" t="s">
        <v>66</v>
      </c>
      <c r="B12" s="2" t="s">
        <v>67</v>
      </c>
      <c r="C12" s="2" t="s">
        <v>68</v>
      </c>
      <c r="D12" s="3"/>
    </row>
    <row r="13" spans="1:9" ht="51">
      <c r="A13" s="19" t="s">
        <v>69</v>
      </c>
      <c r="B13" s="20">
        <f>(C9-C6)*100</f>
        <v>29.999999999999993</v>
      </c>
      <c r="C13" s="19" t="s">
        <v>70</v>
      </c>
      <c r="D13" s="3"/>
    </row>
    <row r="14" spans="1:9" ht="34">
      <c r="A14" s="21" t="s">
        <v>71</v>
      </c>
      <c r="B14" s="22">
        <f>IFERROR((C9-C6)/C6,0)</f>
        <v>0.4615384615384614</v>
      </c>
      <c r="C14" s="21" t="s">
        <v>72</v>
      </c>
      <c r="D14" s="3"/>
    </row>
    <row r="15" spans="1:9" ht="34">
      <c r="A15" s="21" t="s">
        <v>73</v>
      </c>
      <c r="B15" s="22">
        <f>1-D9/D6</f>
        <v>0.30000000000000004</v>
      </c>
      <c r="C15" s="21" t="s">
        <v>74</v>
      </c>
      <c r="D15" s="3"/>
    </row>
    <row r="16" spans="1:9" ht="34">
      <c r="A16" s="21" t="s">
        <v>75</v>
      </c>
      <c r="B16" s="22">
        <f>E9</f>
        <v>0.97</v>
      </c>
      <c r="C16" s="21" t="s">
        <v>76</v>
      </c>
      <c r="D16" s="3"/>
    </row>
    <row r="17" spans="1:4" ht="34">
      <c r="A17" s="21" t="s">
        <v>77</v>
      </c>
      <c r="B17" s="22">
        <f>I9</f>
        <v>0.93939393939393945</v>
      </c>
      <c r="C17" s="21" t="s">
        <v>78</v>
      </c>
      <c r="D17" s="3"/>
    </row>
    <row r="18" spans="1:4" ht="34">
      <c r="A18" s="23" t="s">
        <v>79</v>
      </c>
      <c r="B18" s="24">
        <f>1-F9/F6</f>
        <v>0.85714285714285721</v>
      </c>
      <c r="C18" s="23" t="s">
        <v>80</v>
      </c>
      <c r="D18" s="3"/>
    </row>
  </sheetData>
  <mergeCells count="2">
    <mergeCell ref="A1:I2"/>
    <mergeCell ref="A3:I3"/>
  </mergeCells>
  <conditionalFormatting sqref="C6:C9">
    <cfRule type="colorScale" priority="1">
      <colorScale>
        <cfvo type="min"/>
        <cfvo type="percentile" val="50"/>
        <cfvo type="max"/>
        <color rgb="FFF8B4C1"/>
        <color rgb="FFFFF4E5"/>
        <color rgb="FFB7E4D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showGridLines="0" topLeftCell="A14" workbookViewId="0">
      <selection sqref="A1:L2"/>
    </sheetView>
  </sheetViews>
  <sheetFormatPr baseColWidth="10" defaultColWidth="8.83203125" defaultRowHeight="16"/>
  <cols>
    <col min="1" max="1" width="13" style="11" customWidth="1"/>
    <col min="2" max="2" width="16" style="11" customWidth="1"/>
    <col min="3" max="3" width="18" style="11" customWidth="1"/>
    <col min="4" max="4" width="17" style="11" customWidth="1"/>
    <col min="5" max="5" width="16" style="11" customWidth="1"/>
    <col min="6" max="6" width="14" style="11" customWidth="1"/>
    <col min="7" max="7" width="12" style="11" customWidth="1"/>
    <col min="8" max="9" width="24" style="11" customWidth="1"/>
    <col min="10" max="10" width="13" style="11" customWidth="1"/>
    <col min="11" max="12" width="14" style="11" customWidth="1"/>
    <col min="13" max="16384" width="8.83203125" style="11"/>
  </cols>
  <sheetData>
    <row r="1" spans="1:12" ht="28" customHeight="1">
      <c r="A1" s="8" t="s">
        <v>81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ht="34">
      <c r="A4" s="1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87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4</v>
      </c>
      <c r="L4" s="3" t="s">
        <v>92</v>
      </c>
    </row>
    <row r="5" spans="1:12">
      <c r="A5" s="25">
        <v>43832</v>
      </c>
      <c r="B5" s="26" t="s">
        <v>93</v>
      </c>
      <c r="C5" s="26">
        <v>480</v>
      </c>
      <c r="D5" s="26">
        <v>465</v>
      </c>
      <c r="E5" s="26">
        <v>15</v>
      </c>
      <c r="F5" s="27">
        <f t="shared" ref="F5:F44" si="0">IFERROR(E5/C5,0)</f>
        <v>3.125E-2</v>
      </c>
      <c r="G5" s="26" t="s">
        <v>94</v>
      </c>
      <c r="H5" s="26" t="s">
        <v>95</v>
      </c>
      <c r="I5" s="26" t="s">
        <v>96</v>
      </c>
      <c r="J5" s="25">
        <v>43834</v>
      </c>
      <c r="K5" s="26" t="s">
        <v>97</v>
      </c>
      <c r="L5" s="26">
        <v>1</v>
      </c>
    </row>
    <row r="6" spans="1:12">
      <c r="A6" s="28">
        <v>43833</v>
      </c>
      <c r="B6" s="29" t="s">
        <v>98</v>
      </c>
      <c r="C6" s="29">
        <v>502</v>
      </c>
      <c r="D6" s="29">
        <v>486</v>
      </c>
      <c r="E6" s="29">
        <v>16</v>
      </c>
      <c r="F6" s="30">
        <f t="shared" si="0"/>
        <v>3.1872509960159362E-2</v>
      </c>
      <c r="G6" s="29" t="s">
        <v>99</v>
      </c>
      <c r="H6" s="29" t="s">
        <v>100</v>
      </c>
      <c r="I6" s="29" t="s">
        <v>101</v>
      </c>
      <c r="J6" s="28">
        <v>43835</v>
      </c>
      <c r="K6" s="29" t="s">
        <v>97</v>
      </c>
      <c r="L6" s="29">
        <v>2</v>
      </c>
    </row>
    <row r="7" spans="1:12">
      <c r="A7" s="28">
        <v>43834</v>
      </c>
      <c r="B7" s="29" t="s">
        <v>102</v>
      </c>
      <c r="C7" s="29">
        <v>524</v>
      </c>
      <c r="D7" s="29">
        <v>508</v>
      </c>
      <c r="E7" s="29">
        <v>16</v>
      </c>
      <c r="F7" s="30">
        <f t="shared" si="0"/>
        <v>3.0534351145038167E-2</v>
      </c>
      <c r="G7" s="29" t="s">
        <v>99</v>
      </c>
      <c r="H7" s="29" t="s">
        <v>103</v>
      </c>
      <c r="I7" s="29" t="s">
        <v>104</v>
      </c>
      <c r="J7" s="28">
        <v>43836</v>
      </c>
      <c r="K7" s="29" t="s">
        <v>97</v>
      </c>
      <c r="L7" s="29">
        <v>3</v>
      </c>
    </row>
    <row r="8" spans="1:12">
      <c r="A8" s="28">
        <v>43835</v>
      </c>
      <c r="B8" s="29" t="s">
        <v>105</v>
      </c>
      <c r="C8" s="29">
        <v>546</v>
      </c>
      <c r="D8" s="29">
        <v>529</v>
      </c>
      <c r="E8" s="29">
        <v>17</v>
      </c>
      <c r="F8" s="30">
        <f t="shared" si="0"/>
        <v>3.1135531135531136E-2</v>
      </c>
      <c r="G8" s="29" t="s">
        <v>106</v>
      </c>
      <c r="H8" s="29" t="s">
        <v>107</v>
      </c>
      <c r="I8" s="29" t="s">
        <v>108</v>
      </c>
      <c r="J8" s="28">
        <v>43837</v>
      </c>
      <c r="K8" s="29" t="s">
        <v>97</v>
      </c>
      <c r="L8" s="29">
        <v>4</v>
      </c>
    </row>
    <row r="9" spans="1:12">
      <c r="A9" s="28">
        <v>43836</v>
      </c>
      <c r="B9" s="29" t="s">
        <v>109</v>
      </c>
      <c r="C9" s="29">
        <v>568</v>
      </c>
      <c r="D9" s="29">
        <v>551</v>
      </c>
      <c r="E9" s="29">
        <v>17</v>
      </c>
      <c r="F9" s="30">
        <f t="shared" si="0"/>
        <v>2.9929577464788731E-2</v>
      </c>
      <c r="G9" s="29" t="s">
        <v>99</v>
      </c>
      <c r="H9" s="29" t="s">
        <v>110</v>
      </c>
      <c r="I9" s="29" t="s">
        <v>111</v>
      </c>
      <c r="J9" s="28">
        <v>43838</v>
      </c>
      <c r="K9" s="29" t="s">
        <v>97</v>
      </c>
      <c r="L9" s="29">
        <v>1</v>
      </c>
    </row>
    <row r="10" spans="1:12">
      <c r="A10" s="28">
        <v>43837</v>
      </c>
      <c r="B10" s="29" t="s">
        <v>112</v>
      </c>
      <c r="C10" s="29">
        <v>590</v>
      </c>
      <c r="D10" s="29">
        <v>572</v>
      </c>
      <c r="E10" s="29">
        <v>18</v>
      </c>
      <c r="F10" s="30">
        <f t="shared" si="0"/>
        <v>3.0508474576271188E-2</v>
      </c>
      <c r="G10" s="29" t="s">
        <v>99</v>
      </c>
      <c r="H10" s="29" t="s">
        <v>113</v>
      </c>
      <c r="I10" s="29" t="s">
        <v>114</v>
      </c>
      <c r="J10" s="28">
        <v>43839</v>
      </c>
      <c r="K10" s="29" t="s">
        <v>97</v>
      </c>
      <c r="L10" s="29">
        <v>2</v>
      </c>
    </row>
    <row r="11" spans="1:12">
      <c r="A11" s="28">
        <v>43838</v>
      </c>
      <c r="B11" s="29" t="s">
        <v>115</v>
      </c>
      <c r="C11" s="29">
        <v>612</v>
      </c>
      <c r="D11" s="29">
        <v>594</v>
      </c>
      <c r="E11" s="29">
        <v>18</v>
      </c>
      <c r="F11" s="30">
        <f t="shared" si="0"/>
        <v>2.9411764705882353E-2</v>
      </c>
      <c r="G11" s="29" t="s">
        <v>106</v>
      </c>
      <c r="H11" s="29" t="s">
        <v>95</v>
      </c>
      <c r="I11" s="29" t="s">
        <v>96</v>
      </c>
      <c r="J11" s="28">
        <v>43840</v>
      </c>
      <c r="K11" s="29" t="s">
        <v>97</v>
      </c>
      <c r="L11" s="29">
        <v>3</v>
      </c>
    </row>
    <row r="12" spans="1:12">
      <c r="A12" s="28">
        <v>43839</v>
      </c>
      <c r="B12" s="29" t="s">
        <v>116</v>
      </c>
      <c r="C12" s="29">
        <v>634</v>
      </c>
      <c r="D12" s="29">
        <v>615</v>
      </c>
      <c r="E12" s="29">
        <v>19</v>
      </c>
      <c r="F12" s="30">
        <f t="shared" si="0"/>
        <v>2.996845425867508E-2</v>
      </c>
      <c r="G12" s="29" t="s">
        <v>99</v>
      </c>
      <c r="H12" s="29" t="s">
        <v>100</v>
      </c>
      <c r="I12" s="29" t="s">
        <v>101</v>
      </c>
      <c r="J12" s="28">
        <v>43841</v>
      </c>
      <c r="K12" s="29" t="s">
        <v>97</v>
      </c>
      <c r="L12" s="29">
        <v>4</v>
      </c>
    </row>
    <row r="13" spans="1:12">
      <c r="A13" s="28">
        <v>43840</v>
      </c>
      <c r="B13" s="29" t="s">
        <v>117</v>
      </c>
      <c r="C13" s="29">
        <v>480</v>
      </c>
      <c r="D13" s="29">
        <v>466</v>
      </c>
      <c r="E13" s="29">
        <v>14</v>
      </c>
      <c r="F13" s="30">
        <f t="shared" si="0"/>
        <v>2.9166666666666667E-2</v>
      </c>
      <c r="G13" s="29" t="s">
        <v>99</v>
      </c>
      <c r="H13" s="29" t="s">
        <v>103</v>
      </c>
      <c r="I13" s="29" t="s">
        <v>104</v>
      </c>
      <c r="J13" s="28">
        <v>43842</v>
      </c>
      <c r="K13" s="29" t="s">
        <v>97</v>
      </c>
      <c r="L13" s="29">
        <v>1</v>
      </c>
    </row>
    <row r="14" spans="1:12">
      <c r="A14" s="28">
        <v>43841</v>
      </c>
      <c r="B14" s="29" t="s">
        <v>118</v>
      </c>
      <c r="C14" s="29">
        <v>502</v>
      </c>
      <c r="D14" s="29">
        <v>488</v>
      </c>
      <c r="E14" s="29">
        <v>14</v>
      </c>
      <c r="F14" s="30">
        <f t="shared" si="0"/>
        <v>2.7888446215139442E-2</v>
      </c>
      <c r="G14" s="29" t="s">
        <v>106</v>
      </c>
      <c r="H14" s="29" t="s">
        <v>107</v>
      </c>
      <c r="I14" s="29" t="s">
        <v>108</v>
      </c>
      <c r="J14" s="28">
        <v>43843</v>
      </c>
      <c r="K14" s="29" t="s">
        <v>97</v>
      </c>
      <c r="L14" s="29">
        <v>2</v>
      </c>
    </row>
    <row r="15" spans="1:12">
      <c r="A15" s="28">
        <v>43842</v>
      </c>
      <c r="B15" s="29" t="s">
        <v>119</v>
      </c>
      <c r="C15" s="29">
        <v>524</v>
      </c>
      <c r="D15" s="29">
        <v>509</v>
      </c>
      <c r="E15" s="29">
        <v>15</v>
      </c>
      <c r="F15" s="30">
        <f t="shared" si="0"/>
        <v>2.8625954198473282E-2</v>
      </c>
      <c r="G15" s="29" t="s">
        <v>99</v>
      </c>
      <c r="H15" s="29" t="s">
        <v>110</v>
      </c>
      <c r="I15" s="29" t="s">
        <v>111</v>
      </c>
      <c r="J15" s="28">
        <v>43844</v>
      </c>
      <c r="K15" s="29" t="s">
        <v>97</v>
      </c>
      <c r="L15" s="29">
        <v>3</v>
      </c>
    </row>
    <row r="16" spans="1:12">
      <c r="A16" s="28">
        <v>43843</v>
      </c>
      <c r="B16" s="29" t="s">
        <v>120</v>
      </c>
      <c r="C16" s="29">
        <v>546</v>
      </c>
      <c r="D16" s="29">
        <v>531</v>
      </c>
      <c r="E16" s="29">
        <v>15</v>
      </c>
      <c r="F16" s="30">
        <f t="shared" si="0"/>
        <v>2.7472527472527472E-2</v>
      </c>
      <c r="G16" s="29" t="s">
        <v>94</v>
      </c>
      <c r="H16" s="29" t="s">
        <v>113</v>
      </c>
      <c r="I16" s="29" t="s">
        <v>114</v>
      </c>
      <c r="J16" s="28">
        <v>43845</v>
      </c>
      <c r="K16" s="29" t="s">
        <v>97</v>
      </c>
      <c r="L16" s="29">
        <v>4</v>
      </c>
    </row>
    <row r="17" spans="1:12">
      <c r="A17" s="28">
        <v>43844</v>
      </c>
      <c r="B17" s="29" t="s">
        <v>121</v>
      </c>
      <c r="C17" s="29">
        <v>568</v>
      </c>
      <c r="D17" s="29">
        <v>552</v>
      </c>
      <c r="E17" s="29">
        <v>16</v>
      </c>
      <c r="F17" s="30">
        <f t="shared" si="0"/>
        <v>2.8169014084507043E-2</v>
      </c>
      <c r="G17" s="29" t="s">
        <v>106</v>
      </c>
      <c r="H17" s="29" t="s">
        <v>95</v>
      </c>
      <c r="I17" s="29" t="s">
        <v>96</v>
      </c>
      <c r="J17" s="28">
        <v>43846</v>
      </c>
      <c r="K17" s="29" t="s">
        <v>97</v>
      </c>
      <c r="L17" s="29">
        <v>1</v>
      </c>
    </row>
    <row r="18" spans="1:12">
      <c r="A18" s="28">
        <v>43845</v>
      </c>
      <c r="B18" s="29" t="s">
        <v>122</v>
      </c>
      <c r="C18" s="29">
        <v>590</v>
      </c>
      <c r="D18" s="29">
        <v>574</v>
      </c>
      <c r="E18" s="29">
        <v>16</v>
      </c>
      <c r="F18" s="30">
        <f t="shared" si="0"/>
        <v>2.7118644067796609E-2</v>
      </c>
      <c r="G18" s="29" t="s">
        <v>99</v>
      </c>
      <c r="H18" s="29" t="s">
        <v>100</v>
      </c>
      <c r="I18" s="29" t="s">
        <v>101</v>
      </c>
      <c r="J18" s="28">
        <v>43847</v>
      </c>
      <c r="K18" s="29" t="s">
        <v>97</v>
      </c>
      <c r="L18" s="29">
        <v>2</v>
      </c>
    </row>
    <row r="19" spans="1:12">
      <c r="A19" s="28">
        <v>43846</v>
      </c>
      <c r="B19" s="29" t="s">
        <v>123</v>
      </c>
      <c r="C19" s="29">
        <v>612</v>
      </c>
      <c r="D19" s="29">
        <v>595</v>
      </c>
      <c r="E19" s="29">
        <v>17</v>
      </c>
      <c r="F19" s="30">
        <f t="shared" si="0"/>
        <v>2.7777777777777776E-2</v>
      </c>
      <c r="G19" s="29" t="s">
        <v>99</v>
      </c>
      <c r="H19" s="29" t="s">
        <v>103</v>
      </c>
      <c r="I19" s="29" t="s">
        <v>104</v>
      </c>
      <c r="J19" s="28">
        <v>43848</v>
      </c>
      <c r="K19" s="29" t="s">
        <v>97</v>
      </c>
      <c r="L19" s="29">
        <v>3</v>
      </c>
    </row>
    <row r="20" spans="1:12">
      <c r="A20" s="28">
        <v>43847</v>
      </c>
      <c r="B20" s="29" t="s">
        <v>124</v>
      </c>
      <c r="C20" s="29">
        <v>634</v>
      </c>
      <c r="D20" s="29">
        <v>617</v>
      </c>
      <c r="E20" s="29">
        <v>17</v>
      </c>
      <c r="F20" s="30">
        <f t="shared" si="0"/>
        <v>2.6813880126182965E-2</v>
      </c>
      <c r="G20" s="29" t="s">
        <v>106</v>
      </c>
      <c r="H20" s="29" t="s">
        <v>107</v>
      </c>
      <c r="I20" s="29" t="s">
        <v>108</v>
      </c>
      <c r="J20" s="28">
        <v>43849</v>
      </c>
      <c r="K20" s="29" t="s">
        <v>97</v>
      </c>
      <c r="L20" s="29">
        <v>4</v>
      </c>
    </row>
    <row r="21" spans="1:12">
      <c r="A21" s="28">
        <v>43848</v>
      </c>
      <c r="B21" s="29" t="s">
        <v>125</v>
      </c>
      <c r="C21" s="29">
        <v>480</v>
      </c>
      <c r="D21" s="29">
        <v>467</v>
      </c>
      <c r="E21" s="29">
        <v>13</v>
      </c>
      <c r="F21" s="30">
        <f t="shared" si="0"/>
        <v>2.7083333333333334E-2</v>
      </c>
      <c r="G21" s="29" t="s">
        <v>99</v>
      </c>
      <c r="H21" s="29" t="s">
        <v>110</v>
      </c>
      <c r="I21" s="29" t="s">
        <v>111</v>
      </c>
      <c r="J21" s="28">
        <v>43850</v>
      </c>
      <c r="K21" s="29" t="s">
        <v>97</v>
      </c>
      <c r="L21" s="29">
        <v>1</v>
      </c>
    </row>
    <row r="22" spans="1:12">
      <c r="A22" s="28">
        <v>43849</v>
      </c>
      <c r="B22" s="29" t="s">
        <v>126</v>
      </c>
      <c r="C22" s="29">
        <v>502</v>
      </c>
      <c r="D22" s="29">
        <v>489</v>
      </c>
      <c r="E22" s="29">
        <v>13</v>
      </c>
      <c r="F22" s="30">
        <f t="shared" si="0"/>
        <v>2.5896414342629483E-2</v>
      </c>
      <c r="G22" s="29" t="s">
        <v>99</v>
      </c>
      <c r="H22" s="29" t="s">
        <v>113</v>
      </c>
      <c r="I22" s="29" t="s">
        <v>114</v>
      </c>
      <c r="J22" s="28">
        <v>43851</v>
      </c>
      <c r="K22" s="29" t="s">
        <v>97</v>
      </c>
      <c r="L22" s="29">
        <v>2</v>
      </c>
    </row>
    <row r="23" spans="1:12">
      <c r="A23" s="28">
        <v>43850</v>
      </c>
      <c r="B23" s="29" t="s">
        <v>127</v>
      </c>
      <c r="C23" s="29">
        <v>524</v>
      </c>
      <c r="D23" s="29">
        <v>511</v>
      </c>
      <c r="E23" s="29">
        <v>13</v>
      </c>
      <c r="F23" s="30">
        <f t="shared" si="0"/>
        <v>2.4809160305343511E-2</v>
      </c>
      <c r="G23" s="29" t="s">
        <v>106</v>
      </c>
      <c r="H23" s="29" t="s">
        <v>95</v>
      </c>
      <c r="I23" s="29" t="s">
        <v>96</v>
      </c>
      <c r="J23" s="28">
        <v>43852</v>
      </c>
      <c r="K23" s="29" t="s">
        <v>97</v>
      </c>
      <c r="L23" s="29">
        <v>3</v>
      </c>
    </row>
    <row r="24" spans="1:12">
      <c r="A24" s="28">
        <v>43851</v>
      </c>
      <c r="B24" s="29" t="s">
        <v>128</v>
      </c>
      <c r="C24" s="29">
        <v>546</v>
      </c>
      <c r="D24" s="29">
        <v>532</v>
      </c>
      <c r="E24" s="29">
        <v>14</v>
      </c>
      <c r="F24" s="30">
        <f t="shared" si="0"/>
        <v>2.564102564102564E-2</v>
      </c>
      <c r="G24" s="29" t="s">
        <v>99</v>
      </c>
      <c r="H24" s="29" t="s">
        <v>100</v>
      </c>
      <c r="I24" s="29" t="s">
        <v>101</v>
      </c>
      <c r="J24" s="28">
        <v>43853</v>
      </c>
      <c r="K24" s="29" t="s">
        <v>97</v>
      </c>
      <c r="L24" s="29">
        <v>4</v>
      </c>
    </row>
    <row r="25" spans="1:12">
      <c r="A25" s="28">
        <v>43852</v>
      </c>
      <c r="B25" s="29" t="s">
        <v>129</v>
      </c>
      <c r="C25" s="29">
        <v>568</v>
      </c>
      <c r="D25" s="29">
        <v>554</v>
      </c>
      <c r="E25" s="29">
        <v>14</v>
      </c>
      <c r="F25" s="30">
        <f t="shared" si="0"/>
        <v>2.464788732394366E-2</v>
      </c>
      <c r="G25" s="29" t="s">
        <v>99</v>
      </c>
      <c r="H25" s="29" t="s">
        <v>103</v>
      </c>
      <c r="I25" s="29" t="s">
        <v>104</v>
      </c>
      <c r="J25" s="28">
        <v>43854</v>
      </c>
      <c r="K25" s="29" t="s">
        <v>97</v>
      </c>
      <c r="L25" s="29">
        <v>1</v>
      </c>
    </row>
    <row r="26" spans="1:12">
      <c r="A26" s="28">
        <v>43853</v>
      </c>
      <c r="B26" s="29" t="s">
        <v>130</v>
      </c>
      <c r="C26" s="29">
        <v>590</v>
      </c>
      <c r="D26" s="29">
        <v>575</v>
      </c>
      <c r="E26" s="29">
        <v>15</v>
      </c>
      <c r="F26" s="30">
        <f t="shared" si="0"/>
        <v>2.5423728813559324E-2</v>
      </c>
      <c r="G26" s="29" t="s">
        <v>106</v>
      </c>
      <c r="H26" s="29" t="s">
        <v>107</v>
      </c>
      <c r="I26" s="29" t="s">
        <v>108</v>
      </c>
      <c r="J26" s="28">
        <v>43855</v>
      </c>
      <c r="K26" s="29" t="s">
        <v>97</v>
      </c>
      <c r="L26" s="29">
        <v>2</v>
      </c>
    </row>
    <row r="27" spans="1:12">
      <c r="A27" s="28">
        <v>43854</v>
      </c>
      <c r="B27" s="29" t="s">
        <v>131</v>
      </c>
      <c r="C27" s="29">
        <v>612</v>
      </c>
      <c r="D27" s="29">
        <v>597</v>
      </c>
      <c r="E27" s="29">
        <v>15</v>
      </c>
      <c r="F27" s="30">
        <f t="shared" si="0"/>
        <v>2.4509803921568627E-2</v>
      </c>
      <c r="G27" s="29" t="s">
        <v>94</v>
      </c>
      <c r="H27" s="29" t="s">
        <v>110</v>
      </c>
      <c r="I27" s="29" t="s">
        <v>111</v>
      </c>
      <c r="J27" s="28">
        <v>43856</v>
      </c>
      <c r="K27" s="29" t="s">
        <v>97</v>
      </c>
      <c r="L27" s="29">
        <v>3</v>
      </c>
    </row>
    <row r="28" spans="1:12">
      <c r="A28" s="28">
        <v>43855</v>
      </c>
      <c r="B28" s="29" t="s">
        <v>132</v>
      </c>
      <c r="C28" s="29">
        <v>634</v>
      </c>
      <c r="D28" s="29">
        <v>619</v>
      </c>
      <c r="E28" s="29">
        <v>15</v>
      </c>
      <c r="F28" s="30">
        <f t="shared" si="0"/>
        <v>2.365930599369085E-2</v>
      </c>
      <c r="G28" s="29" t="s">
        <v>99</v>
      </c>
      <c r="H28" s="29" t="s">
        <v>113</v>
      </c>
      <c r="I28" s="29" t="s">
        <v>114</v>
      </c>
      <c r="J28" s="28">
        <v>43857</v>
      </c>
      <c r="K28" s="29" t="s">
        <v>97</v>
      </c>
      <c r="L28" s="29">
        <v>4</v>
      </c>
    </row>
    <row r="29" spans="1:12">
      <c r="A29" s="28">
        <v>43856</v>
      </c>
      <c r="B29" s="29" t="s">
        <v>133</v>
      </c>
      <c r="C29" s="29">
        <v>480</v>
      </c>
      <c r="D29" s="29">
        <v>469</v>
      </c>
      <c r="E29" s="29">
        <v>11</v>
      </c>
      <c r="F29" s="30">
        <f t="shared" si="0"/>
        <v>2.2916666666666665E-2</v>
      </c>
      <c r="G29" s="29" t="s">
        <v>106</v>
      </c>
      <c r="H29" s="29" t="s">
        <v>95</v>
      </c>
      <c r="I29" s="29" t="s">
        <v>96</v>
      </c>
      <c r="J29" s="28">
        <v>43858</v>
      </c>
      <c r="K29" s="29" t="s">
        <v>97</v>
      </c>
      <c r="L29" s="29">
        <v>1</v>
      </c>
    </row>
    <row r="30" spans="1:12">
      <c r="A30" s="28">
        <v>43857</v>
      </c>
      <c r="B30" s="29" t="s">
        <v>134</v>
      </c>
      <c r="C30" s="29">
        <v>502</v>
      </c>
      <c r="D30" s="29">
        <v>490</v>
      </c>
      <c r="E30" s="29">
        <v>12</v>
      </c>
      <c r="F30" s="30">
        <f t="shared" si="0"/>
        <v>2.3904382470119521E-2</v>
      </c>
      <c r="G30" s="29" t="s">
        <v>99</v>
      </c>
      <c r="H30" s="29" t="s">
        <v>100</v>
      </c>
      <c r="I30" s="29" t="s">
        <v>101</v>
      </c>
      <c r="J30" s="28">
        <v>43859</v>
      </c>
      <c r="K30" s="29" t="s">
        <v>97</v>
      </c>
      <c r="L30" s="29">
        <v>2</v>
      </c>
    </row>
    <row r="31" spans="1:12">
      <c r="A31" s="28">
        <v>43858</v>
      </c>
      <c r="B31" s="29" t="s">
        <v>135</v>
      </c>
      <c r="C31" s="29">
        <v>524</v>
      </c>
      <c r="D31" s="29">
        <v>512</v>
      </c>
      <c r="E31" s="29">
        <v>12</v>
      </c>
      <c r="F31" s="30">
        <f t="shared" si="0"/>
        <v>2.2900763358778626E-2</v>
      </c>
      <c r="G31" s="29" t="s">
        <v>99</v>
      </c>
      <c r="H31" s="29" t="s">
        <v>103</v>
      </c>
      <c r="I31" s="29" t="s">
        <v>104</v>
      </c>
      <c r="J31" s="28">
        <v>43860</v>
      </c>
      <c r="K31" s="29" t="s">
        <v>97</v>
      </c>
      <c r="L31" s="29">
        <v>3</v>
      </c>
    </row>
    <row r="32" spans="1:12">
      <c r="A32" s="28">
        <v>43859</v>
      </c>
      <c r="B32" s="29" t="s">
        <v>136</v>
      </c>
      <c r="C32" s="29">
        <v>546</v>
      </c>
      <c r="D32" s="29">
        <v>534</v>
      </c>
      <c r="E32" s="29">
        <v>12</v>
      </c>
      <c r="F32" s="30">
        <f t="shared" si="0"/>
        <v>2.197802197802198E-2</v>
      </c>
      <c r="G32" s="29" t="s">
        <v>106</v>
      </c>
      <c r="H32" s="29" t="s">
        <v>107</v>
      </c>
      <c r="I32" s="29" t="s">
        <v>108</v>
      </c>
      <c r="J32" s="28">
        <v>43861</v>
      </c>
      <c r="K32" s="29" t="s">
        <v>97</v>
      </c>
      <c r="L32" s="29">
        <v>4</v>
      </c>
    </row>
    <row r="33" spans="1:12">
      <c r="A33" s="28">
        <v>43860</v>
      </c>
      <c r="B33" s="29" t="s">
        <v>137</v>
      </c>
      <c r="C33" s="29">
        <v>568</v>
      </c>
      <c r="D33" s="29">
        <v>555</v>
      </c>
      <c r="E33" s="29">
        <v>13</v>
      </c>
      <c r="F33" s="30">
        <f t="shared" si="0"/>
        <v>2.2887323943661973E-2</v>
      </c>
      <c r="G33" s="29" t="s">
        <v>99</v>
      </c>
      <c r="H33" s="29" t="s">
        <v>110</v>
      </c>
      <c r="I33" s="29" t="s">
        <v>111</v>
      </c>
      <c r="J33" s="28">
        <v>43862</v>
      </c>
      <c r="K33" s="29" t="s">
        <v>97</v>
      </c>
      <c r="L33" s="29">
        <v>1</v>
      </c>
    </row>
    <row r="34" spans="1:12">
      <c r="A34" s="28">
        <v>43861</v>
      </c>
      <c r="B34" s="29" t="s">
        <v>138</v>
      </c>
      <c r="C34" s="29">
        <v>590</v>
      </c>
      <c r="D34" s="29">
        <v>577</v>
      </c>
      <c r="E34" s="29">
        <v>13</v>
      </c>
      <c r="F34" s="30">
        <f t="shared" si="0"/>
        <v>2.2033898305084745E-2</v>
      </c>
      <c r="G34" s="29" t="s">
        <v>99</v>
      </c>
      <c r="H34" s="29" t="s">
        <v>113</v>
      </c>
      <c r="I34" s="29" t="s">
        <v>114</v>
      </c>
      <c r="J34" s="28">
        <v>43863</v>
      </c>
      <c r="K34" s="29" t="s">
        <v>97</v>
      </c>
      <c r="L34" s="29">
        <v>2</v>
      </c>
    </row>
    <row r="35" spans="1:12">
      <c r="A35" s="28">
        <v>43862</v>
      </c>
      <c r="B35" s="29" t="s">
        <v>139</v>
      </c>
      <c r="C35" s="29">
        <v>612</v>
      </c>
      <c r="D35" s="29">
        <v>599</v>
      </c>
      <c r="E35" s="29">
        <v>13</v>
      </c>
      <c r="F35" s="30">
        <f t="shared" si="0"/>
        <v>2.1241830065359478E-2</v>
      </c>
      <c r="G35" s="29" t="s">
        <v>106</v>
      </c>
      <c r="H35" s="29" t="s">
        <v>95</v>
      </c>
      <c r="I35" s="29" t="s">
        <v>96</v>
      </c>
      <c r="J35" s="28">
        <v>43864</v>
      </c>
      <c r="K35" s="29" t="s">
        <v>97</v>
      </c>
      <c r="L35" s="29">
        <v>3</v>
      </c>
    </row>
    <row r="36" spans="1:12">
      <c r="A36" s="28">
        <v>43863</v>
      </c>
      <c r="B36" s="29" t="s">
        <v>140</v>
      </c>
      <c r="C36" s="29">
        <v>634</v>
      </c>
      <c r="D36" s="29">
        <v>621</v>
      </c>
      <c r="E36" s="29">
        <v>13</v>
      </c>
      <c r="F36" s="30">
        <f t="shared" si="0"/>
        <v>2.0504731861198739E-2</v>
      </c>
      <c r="G36" s="29" t="s">
        <v>99</v>
      </c>
      <c r="H36" s="29" t="s">
        <v>100</v>
      </c>
      <c r="I36" s="29" t="s">
        <v>101</v>
      </c>
      <c r="J36" s="28">
        <v>43865</v>
      </c>
      <c r="K36" s="29" t="s">
        <v>97</v>
      </c>
      <c r="L36" s="29">
        <v>4</v>
      </c>
    </row>
    <row r="37" spans="1:12">
      <c r="A37" s="28">
        <v>43864</v>
      </c>
      <c r="B37" s="29" t="s">
        <v>141</v>
      </c>
      <c r="C37" s="29">
        <v>480</v>
      </c>
      <c r="D37" s="29">
        <v>470</v>
      </c>
      <c r="E37" s="29">
        <v>10</v>
      </c>
      <c r="F37" s="30">
        <f t="shared" si="0"/>
        <v>2.0833333333333332E-2</v>
      </c>
      <c r="G37" s="29" t="s">
        <v>99</v>
      </c>
      <c r="H37" s="29" t="s">
        <v>103</v>
      </c>
      <c r="I37" s="29" t="s">
        <v>104</v>
      </c>
      <c r="J37" s="28">
        <v>43866</v>
      </c>
      <c r="K37" s="29" t="s">
        <v>97</v>
      </c>
      <c r="L37" s="29">
        <v>1</v>
      </c>
    </row>
    <row r="38" spans="1:12">
      <c r="A38" s="28">
        <v>43865</v>
      </c>
      <c r="B38" s="29" t="s">
        <v>142</v>
      </c>
      <c r="C38" s="29">
        <v>502</v>
      </c>
      <c r="D38" s="29">
        <v>492</v>
      </c>
      <c r="E38" s="29">
        <v>10</v>
      </c>
      <c r="F38" s="30">
        <f t="shared" si="0"/>
        <v>1.9920318725099601E-2</v>
      </c>
      <c r="G38" s="29" t="s">
        <v>94</v>
      </c>
      <c r="H38" s="29" t="s">
        <v>107</v>
      </c>
      <c r="I38" s="29" t="s">
        <v>108</v>
      </c>
      <c r="J38" s="28">
        <v>43867</v>
      </c>
      <c r="K38" s="29" t="s">
        <v>97</v>
      </c>
      <c r="L38" s="29">
        <v>2</v>
      </c>
    </row>
    <row r="39" spans="1:12">
      <c r="A39" s="28">
        <v>43866</v>
      </c>
      <c r="B39" s="29" t="s">
        <v>143</v>
      </c>
      <c r="C39" s="29">
        <v>524</v>
      </c>
      <c r="D39" s="29">
        <v>513</v>
      </c>
      <c r="E39" s="29">
        <v>11</v>
      </c>
      <c r="F39" s="30">
        <f t="shared" si="0"/>
        <v>2.0992366412213741E-2</v>
      </c>
      <c r="G39" s="29" t="s">
        <v>99</v>
      </c>
      <c r="H39" s="29" t="s">
        <v>110</v>
      </c>
      <c r="I39" s="29" t="s">
        <v>111</v>
      </c>
      <c r="J39" s="28">
        <v>43868</v>
      </c>
      <c r="K39" s="29" t="s">
        <v>97</v>
      </c>
      <c r="L39" s="29">
        <v>3</v>
      </c>
    </row>
    <row r="40" spans="1:12">
      <c r="A40" s="28">
        <v>43867</v>
      </c>
      <c r="B40" s="29" t="s">
        <v>144</v>
      </c>
      <c r="C40" s="29">
        <v>546</v>
      </c>
      <c r="D40" s="29">
        <v>535</v>
      </c>
      <c r="E40" s="29">
        <v>11</v>
      </c>
      <c r="F40" s="30">
        <f t="shared" si="0"/>
        <v>2.0146520146520148E-2</v>
      </c>
      <c r="G40" s="29" t="s">
        <v>99</v>
      </c>
      <c r="H40" s="29" t="s">
        <v>113</v>
      </c>
      <c r="I40" s="29" t="s">
        <v>114</v>
      </c>
      <c r="J40" s="28">
        <v>43869</v>
      </c>
      <c r="K40" s="29" t="s">
        <v>97</v>
      </c>
      <c r="L40" s="29">
        <v>4</v>
      </c>
    </row>
    <row r="41" spans="1:12">
      <c r="A41" s="28">
        <v>43868</v>
      </c>
      <c r="B41" s="29" t="s">
        <v>145</v>
      </c>
      <c r="C41" s="29">
        <v>568</v>
      </c>
      <c r="D41" s="29">
        <v>557</v>
      </c>
      <c r="E41" s="29">
        <v>11</v>
      </c>
      <c r="F41" s="30">
        <f t="shared" si="0"/>
        <v>1.936619718309859E-2</v>
      </c>
      <c r="G41" s="29" t="s">
        <v>106</v>
      </c>
      <c r="H41" s="29" t="s">
        <v>95</v>
      </c>
      <c r="I41" s="29" t="s">
        <v>96</v>
      </c>
      <c r="J41" s="28">
        <v>43870</v>
      </c>
      <c r="K41" s="29" t="s">
        <v>97</v>
      </c>
      <c r="L41" s="29">
        <v>1</v>
      </c>
    </row>
    <row r="42" spans="1:12">
      <c r="A42" s="28">
        <v>43869</v>
      </c>
      <c r="B42" s="29" t="s">
        <v>146</v>
      </c>
      <c r="C42" s="29">
        <v>590</v>
      </c>
      <c r="D42" s="29">
        <v>579</v>
      </c>
      <c r="E42" s="29">
        <v>11</v>
      </c>
      <c r="F42" s="30">
        <f t="shared" si="0"/>
        <v>1.864406779661017E-2</v>
      </c>
      <c r="G42" s="29" t="s">
        <v>99</v>
      </c>
      <c r="H42" s="29" t="s">
        <v>100</v>
      </c>
      <c r="I42" s="29" t="s">
        <v>101</v>
      </c>
      <c r="J42" s="28">
        <v>43871</v>
      </c>
      <c r="K42" s="29" t="s">
        <v>147</v>
      </c>
      <c r="L42" s="29"/>
    </row>
    <row r="43" spans="1:12">
      <c r="A43" s="28">
        <v>43870</v>
      </c>
      <c r="B43" s="29" t="s">
        <v>148</v>
      </c>
      <c r="C43" s="29">
        <v>612</v>
      </c>
      <c r="D43" s="29">
        <v>601</v>
      </c>
      <c r="E43" s="29">
        <v>11</v>
      </c>
      <c r="F43" s="30">
        <f t="shared" si="0"/>
        <v>1.7973856209150325E-2</v>
      </c>
      <c r="G43" s="29" t="s">
        <v>99</v>
      </c>
      <c r="H43" s="29" t="s">
        <v>103</v>
      </c>
      <c r="I43" s="29" t="s">
        <v>104</v>
      </c>
      <c r="J43" s="28">
        <v>43872</v>
      </c>
      <c r="K43" s="29" t="s">
        <v>149</v>
      </c>
      <c r="L43" s="29"/>
    </row>
    <row r="44" spans="1:12">
      <c r="A44" s="31">
        <v>43871</v>
      </c>
      <c r="B44" s="32" t="s">
        <v>150</v>
      </c>
      <c r="C44" s="32">
        <v>634</v>
      </c>
      <c r="D44" s="32">
        <v>622</v>
      </c>
      <c r="E44" s="32">
        <v>12</v>
      </c>
      <c r="F44" s="33">
        <f t="shared" si="0"/>
        <v>1.8927444794952682E-2</v>
      </c>
      <c r="G44" s="32" t="s">
        <v>106</v>
      </c>
      <c r="H44" s="32" t="s">
        <v>107</v>
      </c>
      <c r="I44" s="32" t="s">
        <v>108</v>
      </c>
      <c r="J44" s="31">
        <v>43873</v>
      </c>
      <c r="K44" s="32" t="s">
        <v>149</v>
      </c>
      <c r="L44" s="32"/>
    </row>
  </sheetData>
  <mergeCells count="1">
    <mergeCell ref="A1:L2"/>
  </mergeCells>
  <conditionalFormatting sqref="G5:G44">
    <cfRule type="containsText" dxfId="3" priority="1" operator="containsText" text="High"/>
    <cfRule type="containsText" dxfId="2" priority="2" operator="containsText" text="Medium"/>
  </conditionalFormatting>
  <conditionalFormatting sqref="K5:K44">
    <cfRule type="containsText" dxfId="1" priority="3" operator="containsText" text="Closed"/>
    <cfRule type="containsText" dxfId="0" priority="4" operator="containsText" text="Open"/>
  </conditionalFormatting>
  <dataValidations count="2">
    <dataValidation type="list" sqref="G5:G44" xr:uid="{00000000-0002-0000-0200-000000000000}">
      <formula1>"Low,Medium,High"</formula1>
    </dataValidation>
    <dataValidation type="list" sqref="K5:K44" xr:uid="{00000000-0002-0000-0200-000001000000}">
      <formula1>"Open,In Progress,Closed"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showGridLines="0" workbookViewId="0">
      <selection sqref="A1:J2"/>
    </sheetView>
  </sheetViews>
  <sheetFormatPr baseColWidth="10" defaultColWidth="8.83203125" defaultRowHeight="16"/>
  <cols>
    <col min="1" max="1" width="25" style="11" customWidth="1"/>
    <col min="2" max="2" width="22" style="11" customWidth="1"/>
    <col min="3" max="3" width="25" style="11" customWidth="1"/>
    <col min="4" max="4" width="20" style="11" customWidth="1"/>
    <col min="5" max="9" width="18" style="11" customWidth="1"/>
    <col min="10" max="10" width="20" style="11" customWidth="1"/>
    <col min="11" max="16384" width="8.83203125" style="11"/>
  </cols>
  <sheetData>
    <row r="1" spans="1:10" ht="28" customHeight="1">
      <c r="A1" s="8" t="s">
        <v>151</v>
      </c>
      <c r="B1" s="8"/>
      <c r="C1" s="8"/>
      <c r="D1" s="8"/>
      <c r="E1" s="8"/>
      <c r="F1" s="8"/>
      <c r="G1" s="8"/>
      <c r="H1" s="8"/>
      <c r="I1" s="8"/>
      <c r="J1" s="8"/>
    </row>
    <row r="2" spans="1:10" ht="22" customHeight="1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ht="22" customHeight="1">
      <c r="A3" s="12" t="s">
        <v>152</v>
      </c>
      <c r="B3" s="12"/>
      <c r="C3" s="12"/>
      <c r="D3" s="12"/>
      <c r="E3" s="12"/>
      <c r="F3" s="12"/>
      <c r="G3" s="12"/>
      <c r="H3" s="12"/>
      <c r="I3" s="12"/>
      <c r="J3" s="12"/>
    </row>
    <row r="5" spans="1:10" ht="34">
      <c r="A5" s="1" t="s">
        <v>153</v>
      </c>
      <c r="B5" s="2" t="s">
        <v>154</v>
      </c>
      <c r="C5" s="2" t="s">
        <v>155</v>
      </c>
      <c r="D5" s="2" t="s">
        <v>96</v>
      </c>
      <c r="E5" s="2" t="s">
        <v>156</v>
      </c>
      <c r="F5" s="2" t="s">
        <v>101</v>
      </c>
      <c r="G5" s="2" t="s">
        <v>108</v>
      </c>
      <c r="H5" s="2" t="s">
        <v>111</v>
      </c>
      <c r="I5" s="2" t="s">
        <v>157</v>
      </c>
      <c r="J5" s="3" t="s">
        <v>158</v>
      </c>
    </row>
    <row r="6" spans="1:10" ht="34">
      <c r="A6" s="34" t="s">
        <v>159</v>
      </c>
      <c r="B6" s="35" t="s">
        <v>160</v>
      </c>
      <c r="C6" s="35" t="s">
        <v>161</v>
      </c>
      <c r="D6" s="35" t="s">
        <v>162</v>
      </c>
      <c r="E6" s="35" t="s">
        <v>162</v>
      </c>
      <c r="F6" s="35" t="s">
        <v>163</v>
      </c>
      <c r="G6" s="35" t="s">
        <v>163</v>
      </c>
      <c r="H6" s="35" t="s">
        <v>163</v>
      </c>
      <c r="I6" s="35" t="s">
        <v>163</v>
      </c>
      <c r="J6" s="34" t="s">
        <v>164</v>
      </c>
    </row>
    <row r="7" spans="1:10" ht="17">
      <c r="A7" s="36" t="s">
        <v>165</v>
      </c>
      <c r="B7" s="37" t="s">
        <v>166</v>
      </c>
      <c r="C7" s="37" t="s">
        <v>163</v>
      </c>
      <c r="D7" s="37" t="s">
        <v>160</v>
      </c>
      <c r="E7" s="37" t="s">
        <v>162</v>
      </c>
      <c r="F7" s="37" t="s">
        <v>160</v>
      </c>
      <c r="G7" s="37" t="s">
        <v>162</v>
      </c>
      <c r="H7" s="37" t="s">
        <v>162</v>
      </c>
      <c r="I7" s="37" t="s">
        <v>163</v>
      </c>
      <c r="J7" s="36" t="s">
        <v>167</v>
      </c>
    </row>
    <row r="8" spans="1:10" ht="34">
      <c r="A8" s="36" t="s">
        <v>168</v>
      </c>
      <c r="B8" s="37" t="s">
        <v>166</v>
      </c>
      <c r="C8" s="37" t="s">
        <v>163</v>
      </c>
      <c r="D8" s="37" t="s">
        <v>160</v>
      </c>
      <c r="E8" s="37" t="s">
        <v>162</v>
      </c>
      <c r="F8" s="37" t="s">
        <v>160</v>
      </c>
      <c r="G8" s="37" t="s">
        <v>162</v>
      </c>
      <c r="H8" s="37" t="s">
        <v>162</v>
      </c>
      <c r="I8" s="37" t="s">
        <v>163</v>
      </c>
      <c r="J8" s="36" t="s">
        <v>167</v>
      </c>
    </row>
    <row r="9" spans="1:10" ht="17">
      <c r="A9" s="36" t="s">
        <v>169</v>
      </c>
      <c r="B9" s="37" t="s">
        <v>160</v>
      </c>
      <c r="C9" s="37" t="s">
        <v>161</v>
      </c>
      <c r="D9" s="37" t="s">
        <v>162</v>
      </c>
      <c r="E9" s="37" t="s">
        <v>162</v>
      </c>
      <c r="F9" s="37" t="s">
        <v>163</v>
      </c>
      <c r="G9" s="37" t="s">
        <v>160</v>
      </c>
      <c r="H9" s="37" t="s">
        <v>160</v>
      </c>
      <c r="I9" s="37" t="s">
        <v>163</v>
      </c>
      <c r="J9" s="36" t="s">
        <v>170</v>
      </c>
    </row>
    <row r="10" spans="1:10" ht="34">
      <c r="A10" s="36" t="s">
        <v>171</v>
      </c>
      <c r="B10" s="37" t="s">
        <v>166</v>
      </c>
      <c r="C10" s="37" t="s">
        <v>163</v>
      </c>
      <c r="D10" s="37" t="s">
        <v>160</v>
      </c>
      <c r="E10" s="37" t="s">
        <v>162</v>
      </c>
      <c r="F10" s="37" t="s">
        <v>162</v>
      </c>
      <c r="G10" s="37" t="s">
        <v>162</v>
      </c>
      <c r="H10" s="37" t="s">
        <v>162</v>
      </c>
      <c r="I10" s="37" t="s">
        <v>163</v>
      </c>
      <c r="J10" s="36" t="s">
        <v>172</v>
      </c>
    </row>
    <row r="11" spans="1:10" ht="17">
      <c r="A11" s="36" t="s">
        <v>173</v>
      </c>
      <c r="B11" s="37" t="s">
        <v>160</v>
      </c>
      <c r="C11" s="37" t="s">
        <v>161</v>
      </c>
      <c r="D11" s="37" t="s">
        <v>162</v>
      </c>
      <c r="E11" s="37" t="s">
        <v>166</v>
      </c>
      <c r="F11" s="37" t="s">
        <v>163</v>
      </c>
      <c r="G11" s="37" t="s">
        <v>162</v>
      </c>
      <c r="H11" s="37" t="s">
        <v>162</v>
      </c>
      <c r="I11" s="37" t="s">
        <v>163</v>
      </c>
      <c r="J11" s="36" t="s">
        <v>174</v>
      </c>
    </row>
    <row r="12" spans="1:10" ht="34">
      <c r="A12" s="38" t="s">
        <v>175</v>
      </c>
      <c r="B12" s="39" t="s">
        <v>160</v>
      </c>
      <c r="C12" s="39" t="s">
        <v>161</v>
      </c>
      <c r="D12" s="39" t="s">
        <v>162</v>
      </c>
      <c r="E12" s="39" t="s">
        <v>162</v>
      </c>
      <c r="F12" s="39" t="s">
        <v>163</v>
      </c>
      <c r="G12" s="39" t="s">
        <v>162</v>
      </c>
      <c r="H12" s="39" t="s">
        <v>162</v>
      </c>
      <c r="I12" s="39" t="s">
        <v>166</v>
      </c>
      <c r="J12" s="38" t="s">
        <v>176</v>
      </c>
    </row>
    <row r="15" spans="1:10" ht="17">
      <c r="A15" s="1" t="s">
        <v>177</v>
      </c>
      <c r="B15" s="2" t="s">
        <v>178</v>
      </c>
      <c r="C15" s="2" t="s">
        <v>179</v>
      </c>
      <c r="D15" s="2" t="s">
        <v>180</v>
      </c>
      <c r="E15" s="2" t="s">
        <v>8</v>
      </c>
      <c r="F15" s="3" t="s">
        <v>181</v>
      </c>
    </row>
    <row r="16" spans="1:10" ht="34">
      <c r="A16" s="4" t="s">
        <v>182</v>
      </c>
      <c r="B16" s="4" t="s">
        <v>183</v>
      </c>
      <c r="C16" s="4" t="s">
        <v>184</v>
      </c>
      <c r="D16" s="4" t="s">
        <v>185</v>
      </c>
      <c r="E16" s="4" t="s">
        <v>186</v>
      </c>
      <c r="F16" s="4" t="s">
        <v>187</v>
      </c>
    </row>
    <row r="17" spans="1:6" ht="34">
      <c r="A17" s="5" t="s">
        <v>188</v>
      </c>
      <c r="B17" s="5" t="s">
        <v>189</v>
      </c>
      <c r="C17" s="5" t="s">
        <v>190</v>
      </c>
      <c r="D17" s="5" t="s">
        <v>191</v>
      </c>
      <c r="E17" s="5" t="s">
        <v>186</v>
      </c>
      <c r="F17" s="5" t="s">
        <v>192</v>
      </c>
    </row>
    <row r="18" spans="1:6" ht="51">
      <c r="A18" s="5" t="s">
        <v>193</v>
      </c>
      <c r="B18" s="5" t="s">
        <v>194</v>
      </c>
      <c r="C18" s="5" t="s">
        <v>195</v>
      </c>
      <c r="D18" s="5" t="s">
        <v>196</v>
      </c>
      <c r="E18" s="5" t="s">
        <v>197</v>
      </c>
      <c r="F18" s="5" t="s">
        <v>198</v>
      </c>
    </row>
    <row r="19" spans="1:6" ht="34">
      <c r="A19" s="5" t="s">
        <v>199</v>
      </c>
      <c r="B19" s="5" t="s">
        <v>200</v>
      </c>
      <c r="C19" s="5" t="s">
        <v>201</v>
      </c>
      <c r="D19" s="5" t="s">
        <v>202</v>
      </c>
      <c r="E19" s="5" t="s">
        <v>203</v>
      </c>
      <c r="F19" s="5" t="s">
        <v>204</v>
      </c>
    </row>
    <row r="20" spans="1:6" ht="34">
      <c r="A20" s="40" t="s">
        <v>205</v>
      </c>
      <c r="B20" s="40" t="s">
        <v>206</v>
      </c>
      <c r="C20" s="40" t="s">
        <v>207</v>
      </c>
      <c r="D20" s="40" t="s">
        <v>208</v>
      </c>
      <c r="E20" s="40" t="s">
        <v>209</v>
      </c>
      <c r="F20" s="40" t="s">
        <v>210</v>
      </c>
    </row>
  </sheetData>
  <mergeCells count="2">
    <mergeCell ref="A1:J2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showGridLines="0" tabSelected="1" topLeftCell="A10" workbookViewId="0">
      <selection activeCell="D34" sqref="D34"/>
    </sheetView>
  </sheetViews>
  <sheetFormatPr baseColWidth="10" defaultColWidth="8.83203125" defaultRowHeight="16"/>
  <cols>
    <col min="1" max="1" width="10" style="11" customWidth="1"/>
    <col min="2" max="4" width="17" style="11" customWidth="1"/>
    <col min="5" max="5" width="18" style="11" customWidth="1"/>
    <col min="6" max="6" width="20" style="11" customWidth="1"/>
    <col min="7" max="7" width="15" style="11" customWidth="1"/>
    <col min="8" max="8" width="20" style="11" customWidth="1"/>
    <col min="9" max="12" width="17" style="11" customWidth="1"/>
    <col min="13" max="16384" width="8.83203125" style="11"/>
  </cols>
  <sheetData>
    <row r="1" spans="1:12" ht="2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22" customHeight="1">
      <c r="A3" s="12" t="s">
        <v>212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5" spans="1:12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12" ht="22" customHeight="1">
      <c r="A6" s="41" t="s">
        <v>213</v>
      </c>
      <c r="B6" s="42"/>
      <c r="C6" s="43"/>
      <c r="D6" s="44" t="s">
        <v>214</v>
      </c>
      <c r="E6" s="45"/>
      <c r="F6" s="46"/>
      <c r="G6" s="44" t="s">
        <v>215</v>
      </c>
      <c r="H6" s="45"/>
      <c r="I6" s="46"/>
      <c r="J6" s="44" t="s">
        <v>216</v>
      </c>
      <c r="K6" s="45"/>
      <c r="L6" s="46"/>
    </row>
    <row r="7" spans="1:12" ht="22" customHeight="1">
      <c r="A7" s="47"/>
      <c r="B7" s="48"/>
      <c r="C7" s="49"/>
      <c r="D7" s="50"/>
      <c r="E7" s="51"/>
      <c r="F7" s="52"/>
      <c r="G7" s="50"/>
      <c r="H7" s="51"/>
      <c r="I7" s="52"/>
      <c r="J7" s="50"/>
      <c r="K7" s="51"/>
      <c r="L7" s="52"/>
    </row>
    <row r="8" spans="1:12" ht="22" customHeight="1">
      <c r="A8" s="47"/>
      <c r="B8" s="48"/>
      <c r="C8" s="49"/>
      <c r="D8" s="50"/>
      <c r="E8" s="51"/>
      <c r="F8" s="52"/>
      <c r="G8" s="50"/>
      <c r="H8" s="51"/>
      <c r="I8" s="52"/>
      <c r="J8" s="50"/>
      <c r="K8" s="51"/>
      <c r="L8" s="52"/>
    </row>
    <row r="9" spans="1:12" ht="22" customHeight="1">
      <c r="A9" s="53"/>
      <c r="B9" s="54"/>
      <c r="C9" s="55"/>
      <c r="D9" s="56"/>
      <c r="E9" s="57"/>
      <c r="F9" s="58"/>
      <c r="G9" s="56"/>
      <c r="H9" s="57"/>
      <c r="I9" s="58"/>
      <c r="J9" s="56"/>
      <c r="K9" s="57"/>
      <c r="L9" s="58"/>
    </row>
    <row r="10" spans="1:12" ht="22" customHeight="1"/>
    <row r="11" spans="1:12" ht="22" customHeight="1">
      <c r="A11" s="60" t="s">
        <v>217</v>
      </c>
      <c r="B11" s="60"/>
      <c r="C11" s="60"/>
      <c r="D11" s="60"/>
      <c r="E11" s="60"/>
      <c r="F11" s="60"/>
      <c r="G11" s="60"/>
      <c r="H11" s="60"/>
    </row>
    <row r="12" spans="1:12" ht="22" customHeight="1">
      <c r="A12" s="1" t="s">
        <v>51</v>
      </c>
      <c r="B12" s="2" t="s">
        <v>218</v>
      </c>
      <c r="C12" s="3" t="s">
        <v>54</v>
      </c>
      <c r="E12" s="1" t="s">
        <v>51</v>
      </c>
      <c r="F12" s="2" t="s">
        <v>218</v>
      </c>
      <c r="G12" s="2" t="s">
        <v>54</v>
      </c>
      <c r="H12" s="3" t="s">
        <v>219</v>
      </c>
    </row>
    <row r="13" spans="1:12" ht="22" customHeight="1">
      <c r="A13" s="61" t="s">
        <v>60</v>
      </c>
      <c r="B13" s="62">
        <v>0.65</v>
      </c>
      <c r="C13" s="61">
        <v>100</v>
      </c>
      <c r="E13" s="63" t="str">
        <f t="shared" ref="E13:G16" si="0">A13</f>
        <v>2018 Baseline</v>
      </c>
      <c r="F13" s="64">
        <f t="shared" si="0"/>
        <v>0.65</v>
      </c>
      <c r="G13" s="63">
        <f t="shared" si="0"/>
        <v>100</v>
      </c>
      <c r="H13" s="63" t="s">
        <v>220</v>
      </c>
    </row>
    <row r="14" spans="1:12" ht="22" customHeight="1">
      <c r="A14" s="65" t="s">
        <v>62</v>
      </c>
      <c r="B14" s="66">
        <v>0.8</v>
      </c>
      <c r="C14" s="65">
        <v>90</v>
      </c>
      <c r="E14" s="63" t="str">
        <f t="shared" si="0"/>
        <v>2019 H1</v>
      </c>
      <c r="F14" s="64">
        <f t="shared" si="0"/>
        <v>0.8</v>
      </c>
      <c r="G14" s="63">
        <f t="shared" si="0"/>
        <v>90</v>
      </c>
      <c r="H14" s="63" t="s">
        <v>221</v>
      </c>
    </row>
    <row r="15" spans="1:12" ht="22" customHeight="1">
      <c r="A15" s="65" t="s">
        <v>64</v>
      </c>
      <c r="B15" s="66">
        <v>0.88</v>
      </c>
      <c r="C15" s="65">
        <v>80</v>
      </c>
      <c r="E15" s="63" t="str">
        <f t="shared" si="0"/>
        <v>2019 Year-end</v>
      </c>
      <c r="F15" s="64">
        <f t="shared" si="0"/>
        <v>0.88</v>
      </c>
      <c r="G15" s="63">
        <f t="shared" si="0"/>
        <v>80</v>
      </c>
      <c r="H15" s="63" t="s">
        <v>222</v>
      </c>
    </row>
    <row r="16" spans="1:12" ht="22" customHeight="1">
      <c r="A16" s="67" t="s">
        <v>65</v>
      </c>
      <c r="B16" s="68">
        <v>0.95</v>
      </c>
      <c r="C16" s="67">
        <v>70</v>
      </c>
      <c r="E16" s="63" t="str">
        <f t="shared" si="0"/>
        <v>2020 Year-end</v>
      </c>
      <c r="F16" s="64">
        <f t="shared" si="0"/>
        <v>0.95</v>
      </c>
      <c r="G16" s="63">
        <f t="shared" si="0"/>
        <v>70</v>
      </c>
      <c r="H16" s="63" t="s">
        <v>223</v>
      </c>
    </row>
    <row r="17" spans="1:12" ht="22" customHeight="1"/>
    <row r="18" spans="1:12" ht="22" customHeight="1"/>
    <row r="19" spans="1:12" ht="22" customHeight="1">
      <c r="A19" s="60" t="s">
        <v>224</v>
      </c>
      <c r="B19" s="60"/>
      <c r="C19" s="60"/>
      <c r="D19" s="60"/>
      <c r="E19" s="60"/>
      <c r="F19" s="60"/>
      <c r="H19" s="69" t="s">
        <v>225</v>
      </c>
      <c r="I19" s="69"/>
      <c r="J19" s="69"/>
      <c r="K19" s="69"/>
      <c r="L19" s="69"/>
    </row>
    <row r="20" spans="1:12" ht="35" customHeight="1">
      <c r="A20" s="4" t="s">
        <v>226</v>
      </c>
      <c r="B20" s="4" t="s">
        <v>227</v>
      </c>
      <c r="C20" s="4" t="s">
        <v>228</v>
      </c>
      <c r="D20" s="4" t="s">
        <v>8</v>
      </c>
      <c r="E20" s="4" t="s">
        <v>229</v>
      </c>
      <c r="F20" s="4" t="s">
        <v>167</v>
      </c>
      <c r="H20" s="70" t="s">
        <v>230</v>
      </c>
      <c r="I20" s="71"/>
      <c r="J20" s="71"/>
      <c r="K20" s="71"/>
      <c r="L20" s="72"/>
    </row>
    <row r="21" spans="1:12" ht="35" customHeight="1">
      <c r="A21" s="5" t="s">
        <v>231</v>
      </c>
      <c r="B21" s="5" t="s">
        <v>232</v>
      </c>
      <c r="C21" s="5" t="s">
        <v>233</v>
      </c>
      <c r="D21" s="5" t="s">
        <v>8</v>
      </c>
      <c r="E21" s="5" t="s">
        <v>234</v>
      </c>
      <c r="F21" s="5" t="s">
        <v>235</v>
      </c>
      <c r="H21" s="73"/>
      <c r="I21" s="74"/>
      <c r="J21" s="74"/>
      <c r="K21" s="74"/>
      <c r="L21" s="75"/>
    </row>
    <row r="22" spans="1:12" ht="35" customHeight="1">
      <c r="A22" s="5" t="s">
        <v>236</v>
      </c>
      <c r="B22" s="5" t="s">
        <v>237</v>
      </c>
      <c r="C22" s="5" t="s">
        <v>238</v>
      </c>
      <c r="D22" s="5" t="s">
        <v>8</v>
      </c>
      <c r="E22" s="5" t="s">
        <v>239</v>
      </c>
      <c r="F22" s="5" t="s">
        <v>170</v>
      </c>
      <c r="H22" s="73"/>
      <c r="I22" s="74"/>
      <c r="J22" s="74"/>
      <c r="K22" s="74"/>
      <c r="L22" s="75"/>
    </row>
    <row r="23" spans="1:12" ht="35" customHeight="1">
      <c r="A23" s="5" t="s">
        <v>240</v>
      </c>
      <c r="B23" s="5" t="s">
        <v>241</v>
      </c>
      <c r="C23" s="5" t="s">
        <v>242</v>
      </c>
      <c r="D23" s="5" t="s">
        <v>8</v>
      </c>
      <c r="E23" s="5" t="s">
        <v>243</v>
      </c>
      <c r="F23" s="5" t="s">
        <v>172</v>
      </c>
      <c r="H23" s="73"/>
      <c r="I23" s="74"/>
      <c r="J23" s="74"/>
      <c r="K23" s="74"/>
      <c r="L23" s="75"/>
    </row>
    <row r="24" spans="1:12" ht="35" customHeight="1">
      <c r="A24" s="5" t="s">
        <v>244</v>
      </c>
      <c r="B24" s="5" t="s">
        <v>245</v>
      </c>
      <c r="C24" s="5" t="s">
        <v>246</v>
      </c>
      <c r="D24" s="5" t="s">
        <v>8</v>
      </c>
      <c r="E24" s="5" t="s">
        <v>155</v>
      </c>
      <c r="F24" s="5" t="s">
        <v>247</v>
      </c>
      <c r="H24" s="73"/>
      <c r="I24" s="74"/>
      <c r="J24" s="74"/>
      <c r="K24" s="74"/>
      <c r="L24" s="75"/>
    </row>
    <row r="25" spans="1:12" ht="35" customHeight="1">
      <c r="A25" s="40" t="s">
        <v>248</v>
      </c>
      <c r="B25" s="40" t="s">
        <v>249</v>
      </c>
      <c r="C25" s="40" t="s">
        <v>250</v>
      </c>
      <c r="D25" s="40" t="s">
        <v>8</v>
      </c>
      <c r="E25" s="40" t="s">
        <v>234</v>
      </c>
      <c r="F25" s="40" t="s">
        <v>251</v>
      </c>
      <c r="H25" s="76"/>
      <c r="I25" s="77"/>
      <c r="J25" s="77"/>
      <c r="K25" s="77"/>
      <c r="L25" s="78"/>
    </row>
    <row r="26" spans="1:12" ht="22" customHeight="1"/>
    <row r="27" spans="1:12" ht="22" customHeight="1"/>
  </sheetData>
  <mergeCells count="10">
    <mergeCell ref="A11:H11"/>
    <mergeCell ref="A19:F19"/>
    <mergeCell ref="H19:L19"/>
    <mergeCell ref="H20:L25"/>
    <mergeCell ref="A1:L2"/>
    <mergeCell ref="A3:L3"/>
    <mergeCell ref="A6:C9"/>
    <mergeCell ref="D6:F9"/>
    <mergeCell ref="G6:I9"/>
    <mergeCell ref="J6:L9"/>
  </mergeCells>
  <conditionalFormatting sqref="F13:F16">
    <cfRule type="colorScale" priority="1">
      <colorScale>
        <cfvo type="min"/>
        <cfvo type="percentile" val="50"/>
        <cfvo type="max"/>
        <color rgb="FFF8B4C1"/>
        <color rgb="FFFFF4E5"/>
        <color rgb="FFB7E4D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 &amp; Notes</vt:lpstr>
      <vt:lpstr>Audit Performance</vt:lpstr>
      <vt:lpstr>Daily Call-Over Log</vt:lpstr>
      <vt:lpstr>RACI &amp; Communication</vt:lpstr>
      <vt:lpstr>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Agnes Abiodun Iwaye</cp:lastModifiedBy>
  <dcterms:modified xsi:type="dcterms:W3CDTF">2026-09-01T22:51:19Z</dcterms:modified>
</cp:coreProperties>
</file>